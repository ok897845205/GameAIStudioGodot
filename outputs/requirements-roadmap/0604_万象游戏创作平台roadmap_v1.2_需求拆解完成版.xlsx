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游戏创作平台（底稿）" sheetId="1" state="visible" r:id="rId1"/>
    <sheet xmlns:r="http://schemas.openxmlformats.org/officeDocument/2006/relationships" name="游戏创作平台roadmap细化版" sheetId="2" state="visible" r:id="rId2"/>
    <sheet xmlns:r="http://schemas.openxmlformats.org/officeDocument/2006/relationships" name="后续需求任务池" sheetId="3" state="visible" r:id="rId3"/>
    <sheet xmlns:r="http://schemas.openxmlformats.org/officeDocument/2006/relationships" name="版本里程碑" sheetId="4" state="visible" r:id="rId4"/>
    <sheet xmlns:r="http://schemas.openxmlformats.org/officeDocument/2006/relationships" name="风险与依赖" sheetId="5" state="visible" r:id="rId5"/>
    <sheet xmlns:r="http://schemas.openxmlformats.org/officeDocument/2006/relationships" name="字段说明" sheetId="6" state="visible" r:id="rId6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37">
    <font>
      <name val="微软雅黑"/>
      <charset val="134"/>
      <color theme="1"/>
      <sz val="11"/>
    </font>
    <font>
      <name val="微软雅黑"/>
      <charset val="134"/>
      <color theme="1"/>
      <sz val="10"/>
    </font>
    <font>
      <name val="微软雅黑"/>
      <charset val="134"/>
      <color rgb="FF000000"/>
      <sz val="11"/>
    </font>
    <font>
      <name val="微软雅黑"/>
      <charset val="134"/>
      <color rgb="FF000000"/>
      <sz val="10"/>
    </font>
    <font>
      <name val="微软雅黑"/>
      <charset val="134"/>
      <b val="1"/>
      <color rgb="FF000000"/>
      <sz val="10"/>
    </font>
    <font>
      <name val="PingFang SC"/>
      <charset val="134"/>
      <b val="1"/>
      <color rgb="FF000000"/>
      <sz val="10"/>
    </font>
    <font>
      <name val="PingFang SC"/>
      <charset val="134"/>
      <color rgb="FF000000"/>
      <sz val="10"/>
    </font>
    <font>
      <name val="PingFang SC"/>
      <charset val="134"/>
      <b val="1"/>
      <color rgb="FF3F3F3F"/>
      <sz val="9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PingFang SC"/>
      <charset val="134"/>
      <i val="1"/>
      <color rgb="FF000000"/>
      <sz val="10"/>
    </font>
    <font>
      <name val="宋体"/>
      <charset val="134"/>
      <color rgb="FF000000"/>
      <sz val="10"/>
    </font>
    <font>
      <name val="微软雅黑"/>
      <charset val="134"/>
      <color rgb="FFFF0000"/>
      <sz val="10"/>
    </font>
    <font>
      <name val="Microsoft YaHei"/>
      <b val="1"/>
      <color rgb="00FFFFFF"/>
      <sz val="18"/>
    </font>
    <font>
      <name val="Microsoft YaHei"/>
      <color rgb="00374151"/>
      <sz val="10"/>
    </font>
    <font>
      <name val="Microsoft YaHei"/>
      <b val="1"/>
      <color rgb="00374151"/>
    </font>
    <font>
      <name val="Microsoft YaHei"/>
      <color rgb="00111827"/>
    </font>
    <font>
      <name val="Microsoft YaHei"/>
      <b val="1"/>
    </font>
    <font>
      <name val="Microsoft YaHei"/>
      <b val="1"/>
      <color rgb="00FFFFFF"/>
    </font>
    <font>
      <name val="Microsoft YaHei"/>
      <color rgb="00111827"/>
      <sz val="10"/>
    </font>
  </fonts>
  <fills count="43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EEF2FF"/>
      </patternFill>
    </fill>
    <fill>
      <patternFill patternType="solid">
        <fgColor rgb="002563EB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8" borderId="6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7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5" fillId="0" borderId="0" applyAlignment="1">
      <alignment vertical="center"/>
    </xf>
    <xf numFmtId="0" fontId="16" fillId="9" borderId="9" applyAlignment="1">
      <alignment vertical="center"/>
    </xf>
    <xf numFmtId="0" fontId="17" fillId="7" borderId="10" applyAlignment="1">
      <alignment vertical="center"/>
    </xf>
    <xf numFmtId="0" fontId="18" fillId="7" borderId="9" applyAlignment="1">
      <alignment vertical="center"/>
    </xf>
    <xf numFmtId="0" fontId="19" fillId="10" borderId="11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9" fontId="6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49" fontId="6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49" fontId="6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58" fontId="6" fillId="0" borderId="2" applyAlignment="1" pivotButton="0" quotePrefix="0" xfId="0">
      <alignment horizontal="center" vertical="center" wrapText="1"/>
    </xf>
    <xf numFmtId="58" fontId="6" fillId="0" borderId="3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58" fontId="6" fillId="0" borderId="3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58" fontId="6" fillId="0" borderId="4" applyAlignment="1" pivotButton="0" quotePrefix="0" xfId="0">
      <alignment horizontal="center" vertical="center" wrapText="1"/>
    </xf>
    <xf numFmtId="49" fontId="7" fillId="6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58" fontId="6" fillId="0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5" pivotButton="0" quotePrefix="0" xfId="0"/>
    <xf numFmtId="0" fontId="0" fillId="0" borderId="5" pivotButton="0" quotePrefix="0" xfId="0"/>
    <xf numFmtId="0" fontId="30" fillId="38" borderId="0" applyAlignment="1" pivotButton="0" quotePrefix="0" xfId="0">
      <alignment horizontal="left" vertical="center"/>
    </xf>
    <xf numFmtId="0" fontId="31" fillId="39" borderId="0" applyAlignment="1" pivotButton="0" quotePrefix="0" xfId="0">
      <alignment vertical="center" wrapText="1"/>
    </xf>
    <xf numFmtId="0" fontId="32" fillId="40" borderId="16" applyAlignment="1" pivotButton="0" quotePrefix="0" xfId="0">
      <alignment vertical="center" wrapText="1"/>
    </xf>
    <xf numFmtId="0" fontId="33" fillId="40" borderId="16" applyAlignment="1" pivotButton="0" quotePrefix="0" xfId="0">
      <alignment vertical="center" wrapText="1"/>
    </xf>
    <xf numFmtId="0" fontId="34" fillId="0" borderId="0" pivotButton="0" quotePrefix="0" xfId="0"/>
    <xf numFmtId="0" fontId="32" fillId="41" borderId="16" applyAlignment="1" pivotButton="0" quotePrefix="0" xfId="0">
      <alignment vertical="center" wrapText="1"/>
    </xf>
    <xf numFmtId="0" fontId="33" fillId="41" borderId="16" applyAlignment="1" pivotButton="0" quotePrefix="0" xfId="0">
      <alignment vertical="center" wrapText="1"/>
    </xf>
    <xf numFmtId="0" fontId="35" fillId="42" borderId="17" applyAlignment="1" pivotButton="0" quotePrefix="0" xfId="0">
      <alignment horizontal="center" vertical="center" wrapText="1"/>
    </xf>
    <xf numFmtId="0" fontId="36" fillId="0" borderId="17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E5E7EB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3E8FF"/>
        </patternFill>
      </fill>
    </dxf>
    <dxf>
      <fill>
        <patternFill patternType="solid">
          <fgColor rgb="00FFEDD5"/>
        </patternFill>
      </fill>
    </dxf>
    <dxf>
      <fill>
        <patternFill patternType="solid">
          <fgColor rgb="00EDE9FE"/>
        </patternFill>
      </fill>
    </dxf>
    <dxf>
      <fill>
        <patternFill patternType="solid">
          <fgColor rgb="00FCE7F3"/>
        </patternFill>
      </fill>
    </dxf>
    <dxf>
      <fill>
        <patternFill patternType="solid">
          <fgColor rgb="00F3F4F6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需求按版本分布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'游戏创作平台roadmap细化版'!M4</f>
            </strRef>
          </tx>
          <spPr>
            <a:ln xmlns:a="http://schemas.openxmlformats.org/drawingml/2006/main">
              <a:prstDash val="solid"/>
            </a:ln>
          </spPr>
          <cat>
            <numRef>
              <f>'游戏创作平台roadmap细化版'!$L$5:$L$8</f>
            </numRef>
          </cat>
          <val>
            <numRef>
              <f>'游戏创作平台roadmap细化版'!$M$5:$M$8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版本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需求数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9</row>
      <rowOff>0</rowOff>
    </from>
    <ext cx="3060000" cy="187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oadmapDetailTable" displayName="RoadmapDetailTable" ref="A8:J29" headerRowCount="1">
  <autoFilter ref="A8:J29"/>
  <tableColumns count="10">
    <tableColumn id="1" name="需求ID"/>
    <tableColumn id="2" name="模块"/>
    <tableColumn id="3" name="需求/能力"/>
    <tableColumn id="4" name="版本/时间"/>
    <tableColumn id="5" name="优先级"/>
    <tableColumn id="6" name="当前状态"/>
    <tableColumn id="7" name="范围拆解"/>
    <tableColumn id="8" name="验收标准"/>
    <tableColumn id="9" name="依赖/风险"/>
    <tableColumn id="10" name="后续动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skPoolTable" displayName="TaskPoolTable" ref="A1:N64" headerRowCount="1">
  <autoFilter ref="A1:N64"/>
  <tableColumns count="14">
    <tableColumn id="1" name="任务ID"/>
    <tableColumn id="2" name="关联需求ID"/>
    <tableColumn id="3" name="版本"/>
    <tableColumn id="4" name="阶段"/>
    <tableColumn id="5" name="优先级"/>
    <tableColumn id="6" name="任务名称"/>
    <tableColumn id="7" name="任务说明"/>
    <tableColumn id="8" name="交付物"/>
    <tableColumn id="9" name="验收标准"/>
    <tableColumn id="10" name="依赖/阻塞"/>
    <tableColumn id="11" name="建议负责人/协作"/>
    <tableColumn id="12" name="状态"/>
    <tableColumn id="13" name="目标日期"/>
    <tableColumn id="14" name="备注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MilestoneTable" displayName="MilestoneTable" ref="A1:G8" headerRowCount="1">
  <autoFilter ref="A1:G8"/>
  <tableColumns count="7">
    <tableColumn id="1" name="里程碑ID"/>
    <tableColumn id="2" name="目标日期"/>
    <tableColumn id="3" name="版本/节点"/>
    <tableColumn id="4" name="目标"/>
    <tableColumn id="5" name="关键范围"/>
    <tableColumn id="6" name="决策门"/>
    <tableColumn id="7" name="退出标准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RiskTable" displayName="RiskTable" ref="A1:H11" headerRowCount="1">
  <autoFilter ref="A1:H11"/>
  <tableColumns count="8">
    <tableColumn id="1" name="风险ID"/>
    <tableColumn id="2" name="领域"/>
    <tableColumn id="3" name="风险/依赖"/>
    <tableColumn id="4" name="影响"/>
    <tableColumn id="5" name="概率"/>
    <tableColumn id="6" name="缓解动作"/>
    <tableColumn id="7" name="负责人/协作"/>
    <tableColumn id="8" name="目标日期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FieldGuideTable" displayName="FieldGuideTable" ref="A1:B10" headerRowCount="1">
  <autoFilter ref="A1:B10"/>
  <tableColumns count="2">
    <tableColumn id="1" name="字段"/>
    <tableColumn id="2" name="说明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topLeftCell="E6" workbookViewId="0">
      <selection activeCell="E6" sqref="E6"/>
    </sheetView>
  </sheetViews>
  <sheetFormatPr baseColWidth="8" defaultColWidth="11.3333333333333" defaultRowHeight="16.5"/>
  <cols>
    <col width="22" customWidth="1" style="2" min="1" max="7"/>
    <col width="34.8888888888889" customWidth="1" style="2" min="8" max="8"/>
    <col width="22" customWidth="1" style="2" min="9" max="16374"/>
    <col width="22" customWidth="1" style="2" min="16375" max="16375"/>
    <col width="11.3333333333333" customWidth="1" style="2" min="16376" max="16384"/>
  </cols>
  <sheetData>
    <row r="1">
      <c r="A1" s="3" t="n"/>
      <c r="B1" s="3" t="n"/>
      <c r="C1" s="3" t="n"/>
      <c r="D1" s="4" t="n"/>
      <c r="E1" s="24" t="n"/>
      <c r="F1" s="4" t="n"/>
      <c r="G1" s="24" t="n"/>
      <c r="H1" s="24" t="n"/>
    </row>
    <row r="2">
      <c r="A2" s="10" t="inlineStr">
        <is>
          <t>产品模块</t>
        </is>
      </c>
      <c r="B2" s="8" t="inlineStr">
        <is>
          <t>产品目标</t>
        </is>
      </c>
      <c r="C2" s="8" t="inlineStr">
        <is>
          <t>版本目标/价值</t>
        </is>
      </c>
      <c r="D2" s="10" t="inlineStr">
        <is>
          <t>版本号</t>
        </is>
      </c>
      <c r="E2" s="9" t="inlineStr">
        <is>
          <t>版本上线时间</t>
        </is>
      </c>
      <c r="F2" s="8" t="inlineStr">
        <is>
          <t>版本定位</t>
        </is>
      </c>
      <c r="G2" s="8" t="inlineStr">
        <is>
          <t>需求名称</t>
        </is>
      </c>
      <c r="H2" s="10" t="inlineStr">
        <is>
          <t>需求描述</t>
        </is>
      </c>
    </row>
    <row r="3" ht="84.09999999999999" customHeight="1" s="52">
      <c r="A3" s="11" t="inlineStr">
        <is>
          <t>万象创作平台 · 核心客户端</t>
        </is>
      </c>
      <c r="B3" s="23" t="inlineStr">
        <is>
          <t>让用户用本地 AI Coding 引擎(Codex/CC 等) + Godot 4 引擎,AI 驱动完成游戏创作与发布</t>
        </is>
      </c>
      <c r="C3" s="23" t="inlineStr">
        <is>
          <t>核心功能内测验证(Godot + AI Coding 引擎扩展)
约束:对话交互保持不变(沿用现有方式,新引擎接入不打破)
⚠️ 风险:研发内部尚未测试,可能有 bug</t>
        </is>
      </c>
      <c r="D3" s="11" t="inlineStr">
        <is>
          <t>万象 v0.1.0-alpha</t>
        </is>
      </c>
      <c r="E3" s="21" t="inlineStr">
        <is>
          <t>2026-06-10</t>
        </is>
      </c>
      <c r="F3" s="14" t="inlineStr">
        <is>
          <t>内测·核心功能</t>
        </is>
      </c>
      <c r="G3" s="23" t="inlineStr">
        <is>
          <t>Godot 引擎接入(基础能力)</t>
        </is>
      </c>
      <c r="H3" s="15" t="inlineStr">
        <is>
          <t>1、支持识别/创建 Godot 4 项目，并完成基础健康检查。
2、支持调起 Godot 模板工程并执行最小运行/验证 smoke，返回成功或失败状态。
3、在界面展示 Godot 运行、阻塞原因和下一步处理建议。</t>
        </is>
      </c>
    </row>
    <row r="4" ht="83.55" customHeight="1" s="52">
      <c r="A4" s="53" t="n"/>
      <c r="B4" s="53" t="n"/>
      <c r="C4" s="54" t="n"/>
      <c r="D4" s="11" t="inlineStr">
        <is>
          <t>万象 v0.1.0-alpha</t>
        </is>
      </c>
      <c r="E4" s="53" t="n"/>
      <c r="F4" s="54" t="n"/>
      <c r="G4" s="23" t="inlineStr">
        <is>
          <t>AI Coding 引擎扩展
(接入 Codex + Claude Code,可替代 KSCC)</t>
        </is>
      </c>
      <c r="H4" s="15" t="inlineStr">
        <is>
          <t>1、接入 Codex 与 Claude Code 的本地 CLI 执行能力，保留现有对话交互入口。
2、通过统一 ProviderAdapter 管理命令构建、健康检查、输出解析和完成回传。
3、Run 过程中记录状态、证据和失败原因，让用户知道 Agent 当前在做什么。</t>
        </is>
      </c>
      <c r="I4" s="17" t="inlineStr">
        <is>
          <t>冲突问题解决进度，待办。
账号打通的问题——kscc账号</t>
        </is>
      </c>
    </row>
    <row r="5" ht="84.65000000000001" customHeight="1" s="52">
      <c r="A5" s="53" t="n"/>
      <c r="B5" s="53" t="n"/>
      <c r="C5" s="18" t="inlineStr">
        <is>
          <t>用户反馈闭环
内测时收集反馈</t>
        </is>
      </c>
      <c r="D5" s="11" t="inlineStr">
        <is>
          <t>万象 v0.1.0-alpha</t>
        </is>
      </c>
      <c r="E5" s="54" t="n"/>
      <c r="F5" s="20" t="inlineStr">
        <is>
          <t>内测·新增功能</t>
        </is>
      </c>
      <c r="G5" s="23" t="inlineStr">
        <is>
          <t>用户使用反馈功能
(产品内反馈入口 + 回收渠道)</t>
        </is>
      </c>
      <c r="H5" s="15" t="inlineStr">
        <is>
          <t>1、在产品内提供反馈入口，支持用户提交问题、建议和运行失败说明。
2、反馈自动带上项目、任务、Run、资源状态和版本等基础上下文。
3、形成回收渠道和反馈标签，支持内测后按痛点聚类和优先级处理。</t>
        </is>
      </c>
      <c r="I5" s="17" t="inlineStr">
        <is>
          <t>对一下时间；
细化反馈机制、存储方式
优先级降低。
一键联系，调群。</t>
        </is>
      </c>
    </row>
    <row r="6" ht="70" customHeight="1" s="52">
      <c r="A6" s="53" t="n"/>
      <c r="B6" s="53" t="n"/>
      <c r="C6" s="23" t="inlineStr">
        <is>
          <t>账号体系·技术前置
7/10 大赛账号打通的方案论证</t>
        </is>
      </c>
      <c r="D6" s="11" t="inlineStr">
        <is>
          <t>万象 v0.1.0-alpha</t>
        </is>
      </c>
      <c r="E6" s="21" t="inlineStr">
        <is>
          <t>2026-06-20</t>
        </is>
      </c>
      <c r="F6" s="22" t="inlineStr">
        <is>
          <t>内测·前置研究</t>
        </is>
      </c>
      <c r="G6" s="23" t="inlineStr">
        <is>
          <t>账号体系·技术方案论证
(创作工具 ↔ 大赛网站打通方案)</t>
        </is>
      </c>
      <c r="H6" s="23" t="inlineStr">
        <is>
          <t>产出:技术方案文档
后续触发:6/30 H15 实施</t>
        </is>
      </c>
      <c r="I6" s="24" t="inlineStr">
        <is>
          <t>优先级不高</t>
        </is>
      </c>
    </row>
    <row r="7" ht="70" customHeight="1" s="52">
      <c r="A7" s="53" t="n"/>
      <c r="B7" s="53" t="n"/>
      <c r="C7" s="23" t="inlineStr">
        <is>
          <t>文生图能力升级:Chaos → 马良
外部工具简单接入,复杂自动化对接 9 月</t>
        </is>
      </c>
      <c r="D7" s="11" t="inlineStr">
        <is>
          <t>万象 v0.2.0</t>
        </is>
      </c>
      <c r="E7" s="38" t="inlineStr">
        <is>
          <t>2026-06-30</t>
        </is>
      </c>
      <c r="F7" s="14" t="inlineStr">
        <is>
          <t>正式版·功能</t>
        </is>
      </c>
      <c r="G7" s="23" t="inlineStr">
        <is>
          <t>文生图接入马良
(用户从马良生成资源可直接导入;复杂自动对接放 9 月)</t>
        </is>
      </c>
      <c r="H7" s="15" t="inlineStr">
        <is>
          <t>1、允许用户从马良生成图片后导入资源库。
2、导入后进入统一 assets 目录、AssetManifest 和 AssetSlot，不绕过 Asset Pipeline。
3、先支持手动导入、绑定和替换，复杂自动生成流程保留到 9 月版本。</t>
        </is>
      </c>
      <c r="I7" s="24" t="inlineStr">
        <is>
          <t>当前先仅支持导入</t>
        </is>
      </c>
    </row>
    <row r="8" ht="70" customHeight="1" s="52">
      <c r="A8" s="53" t="n"/>
      <c r="B8" s="53" t="n"/>
      <c r="C8" s="23" t="inlineStr">
        <is>
          <t>反馈闭环完善
基于 6/10 内测反馈优化流程</t>
        </is>
      </c>
      <c r="D8" s="11" t="inlineStr">
        <is>
          <t>万象 v0.2.0</t>
        </is>
      </c>
      <c r="E8" s="53" t="n"/>
      <c r="F8" s="14" t="inlineStr">
        <is>
          <t>正式版·功能</t>
        </is>
      </c>
      <c r="G8" s="23" t="inlineStr">
        <is>
          <t>用户反馈机制完善
(基于内测反馈,优化反馈流程/分类/响应)</t>
        </is>
      </c>
      <c r="H8" s="15" t="inlineStr">
        <is>
          <t>1、基于 6/10 内测反馈建立问题标签、优先级和处理状态。
2、反馈与日志、Run、资源预检结果关联，支持定位失败原因。
3、沉淀 FAQ、痛点清单和产品改进。</t>
        </is>
      </c>
      <c r="I8" s="24" t="inlineStr">
        <is>
          <t>优先级低</t>
        </is>
      </c>
    </row>
    <row r="9" ht="83.90000000000001" customHeight="1" s="52">
      <c r="A9" s="53" t="n"/>
      <c r="B9" s="53" t="n"/>
      <c r="C9" s="23" t="inlineStr">
        <is>
          <t>Godot 引擎完整支持
在 6/10 基础上完善真实工程闭环</t>
        </is>
      </c>
      <c r="D9" s="11" t="inlineStr">
        <is>
          <t>万象 v0.2.0</t>
        </is>
      </c>
      <c r="E9" s="53" t="n"/>
      <c r="F9" s="14" t="inlineStr">
        <is>
          <t>正式版·功能</t>
        </is>
      </c>
      <c r="G9" s="23" t="inlineStr">
        <is>
          <t>Godot 引擎接入完善
(覆盖真实工程的创建/编辑/预览/导出)</t>
        </is>
      </c>
      <c r="H9" s="15" t="inlineStr">
        <is>
          <t>1、覆盖 Godot 项目创建、打开、模板选择和健康检查。
2、支持真实编辑链路：Agent 执行后触发 Godot import、运行或测试验证。
3、支持预览和 Web 导出，失败时展示原因和下一步动作。</t>
        </is>
      </c>
      <c r="I9" s="24" t="inlineStr">
        <is>
          <t>优先级高</t>
        </is>
      </c>
    </row>
    <row r="10" ht="70" customHeight="1" s="52">
      <c r="A10" s="53" t="n"/>
      <c r="B10" s="53" t="n"/>
      <c r="C10" s="27" t="inlineStr">
        <is>
          <t>资源能力延续
2D 资源管理上线 + 3D 沿用混元</t>
        </is>
      </c>
      <c r="D10" s="28" t="inlineStr">
        <is>
          <t>万象 v0.2.0</t>
        </is>
      </c>
      <c r="E10" s="53" t="n"/>
      <c r="F10" s="30" t="inlineStr">
        <is>
          <t>正式版·功能</t>
        </is>
      </c>
      <c r="G10" s="31" t="inlineStr">
        <is>
          <t>2D 资源管理(linli 负责)</t>
        </is>
      </c>
      <c r="H10" s="31" t="inlineStr">
        <is>
          <t>待补。优先级调高。</t>
        </is>
      </c>
      <c r="I10" s="24" t="inlineStr">
        <is>
          <t>拆分具体的task</t>
        </is>
      </c>
      <c r="J10" s="24" t="inlineStr">
        <is>
          <t>方案：如网页类的搜索；需要探索更合理方案</t>
        </is>
      </c>
    </row>
    <row r="11" ht="70" customHeight="1" s="52">
      <c r="A11" s="53" t="n"/>
      <c r="B11" s="53" t="n"/>
      <c r="C11" s="55" t="n"/>
      <c r="D11" s="28" t="n"/>
      <c r="E11" s="53" t="n"/>
      <c r="F11" s="30" t="n"/>
      <c r="G11" s="31" t="n"/>
      <c r="H11" s="31" t="n"/>
    </row>
    <row r="12" ht="70" customHeight="1" s="52">
      <c r="A12" s="53" t="n"/>
      <c r="B12" s="53" t="n"/>
      <c r="C12" s="56" t="n"/>
      <c r="D12" s="28" t="inlineStr">
        <is>
          <t>万象 v0.2.0</t>
        </is>
      </c>
      <c r="E12" s="53" t="n"/>
      <c r="F12" s="30" t="inlineStr">
        <is>
          <t>正式版·功能</t>
        </is>
      </c>
      <c r="G12" s="31" t="inlineStr">
        <is>
          <t>3D 模型生成沿用混元(已有机制保留)</t>
        </is>
      </c>
      <c r="H12" s="31" t="inlineStr">
        <is>
          <t>待补。优先级调高。</t>
        </is>
      </c>
    </row>
    <row r="13" ht="70" customHeight="1" s="52">
      <c r="A13" s="53" t="n"/>
      <c r="B13" s="53" t="n"/>
      <c r="C13" s="32" t="inlineStr">
        <is>
          <t>从"演示跑通"升级到"真能用"
核心创作链路在真实 AI + 真实 Godot 环境下稳定运转</t>
        </is>
      </c>
      <c r="D13" s="11" t="inlineStr">
        <is>
          <t>万象 v0.2.0</t>
        </is>
      </c>
      <c r="E13" s="53" t="n"/>
      <c r="F13" s="33" t="inlineStr">
        <is>
          <t>正式版·内功收口</t>
        </is>
      </c>
      <c r="G13" s="23" t="inlineStr">
        <is>
          <t>核心创作链路稳定化
(从用户输入想法,到 AI 真用 Codex/CC 写代码,到 Godot 真编译运行——整条链路跑稳)</t>
        </is>
      </c>
      <c r="H13" s="23" t="n"/>
    </row>
    <row r="14" ht="70" customHeight="1" s="52">
      <c r="A14" s="53" t="n"/>
      <c r="B14" s="53" t="n"/>
      <c r="C14" s="56" t="n"/>
      <c r="D14" s="11" t="inlineStr">
        <is>
          <t>万象 v0.2.0</t>
        </is>
      </c>
      <c r="E14" s="53" t="n"/>
      <c r="F14" s="54" t="n"/>
      <c r="G14" s="23" t="inlineStr">
        <is>
          <t>AI 运行结果可视化
(用户能看清每次 AI 干活的进展;失败时显示原因 + 下一步指引)</t>
        </is>
      </c>
      <c r="H14" s="23" t="n"/>
    </row>
    <row r="15" ht="70" customHeight="1" s="52">
      <c r="A15" s="53" t="n"/>
      <c r="B15" s="53" t="n"/>
      <c r="C15" s="23" t="inlineStr">
        <is>
          <t>打通工具到大赛投稿通道
用户在工具内做完作品,可直接投稿到 7/10 大赛</t>
        </is>
      </c>
      <c r="D15" s="11" t="inlineStr">
        <is>
          <t>万象 v0.2.0</t>
        </is>
      </c>
      <c r="E15" s="53" t="n"/>
      <c r="F15" s="34" t="inlineStr">
        <is>
          <t>正式版·跨线接口</t>
        </is>
      </c>
      <c r="G15" s="23" t="inlineStr">
        <is>
          <t>工具→大赛网站投稿对接
(跨任务线接口点,需与网站任务线对齐协议)</t>
        </is>
      </c>
      <c r="H15" s="23" t="inlineStr">
        <is>
          <t>对接大赛官网投稿</t>
        </is>
      </c>
      <c r="I15" s="24" t="inlineStr">
        <is>
          <t>了解进度</t>
        </is>
      </c>
    </row>
    <row r="16" ht="70" customHeight="1" s="52">
      <c r="A16" s="54" t="n"/>
      <c r="B16" s="54" t="n"/>
      <c r="C16" s="23" t="inlineStr">
        <is>
          <t>账号体系正式打通
按 6/10 H6 论证方案实施</t>
        </is>
      </c>
      <c r="D16" s="11" t="inlineStr">
        <is>
          <t>万象 v0.2.0</t>
        </is>
      </c>
      <c r="E16" s="54" t="n"/>
      <c r="F16" s="36" t="inlineStr">
        <is>
          <t>正式版·前置研究实施</t>
        </is>
      </c>
      <c r="G16" s="23" t="inlineStr">
        <is>
          <t>用户登录态/账号体系实施
(创作工具 ↔ 大赛网站统一或互通)</t>
        </is>
      </c>
      <c r="H16" s="23" t="inlineStr">
        <is>
          <t>前置:6/10 H6 论证</t>
        </is>
      </c>
    </row>
    <row r="17" ht="84" customHeight="1" s="52">
      <c r="A17" s="37" t="inlineStr">
        <is>
          <t>7-9 月大赛持续期 · 规划方向(占位)</t>
        </is>
      </c>
      <c r="B17" s="32" t="inlineStr">
        <is>
          <t>大赛持续期(7-9 月)内的工具迭代方向 + 前置研究里程碑
该部分随着调研、内测及市场分析等工作的开展，逐步补充需求内容，内部讨论确认增加进来</t>
        </is>
      </c>
      <c r="C17" s="23" t="inlineStr">
        <is>
          <t>微信小游戏前置研究里程碑
跟版本号脱钩,产出 3 份文档</t>
        </is>
      </c>
      <c r="D17" s="11" t="inlineStr">
        <is>
          <t>研究·M1
(非版本号)</t>
        </is>
      </c>
      <c r="E17" s="38" t="inlineStr">
        <is>
          <t>2026-06-30</t>
        </is>
      </c>
      <c r="F17" s="22" t="inlineStr">
        <is>
          <t>研究里程碑·前置研究</t>
        </is>
      </c>
      <c r="G17" s="23" t="inlineStr">
        <is>
          <t>微信小游戏研究里程碑</t>
        </is>
      </c>
      <c r="H17" s="23" t="inlineStr">
        <is>
          <t>产出物( 6/30 前):
微信小游戏调研分析报告、规划讨论稿
触发:后续某版 v?.? 实施(时间视研究结论)</t>
        </is>
      </c>
      <c r="I17" s="17" t="inlineStr">
        <is>
          <t>技术研究 
如登录送奖励、广告植入 技术方式。
优先级不是特高</t>
        </is>
      </c>
    </row>
    <row r="18" ht="70" customHeight="1" s="52">
      <c r="A18" s="55" t="n"/>
      <c r="B18" s="55" t="n"/>
      <c r="C18" s="23" t="inlineStr">
        <is>
          <t>Cocos 引擎接入(多引擎扩展)</t>
        </is>
      </c>
      <c r="D18" s="11" t="inlineStr">
        <is>
          <t>万象 v0.4.0(待定)</t>
        </is>
      </c>
      <c r="E18" s="38" t="inlineStr">
        <is>
          <t>约 9 月底</t>
        </is>
      </c>
      <c r="F18" s="39" t="inlineStr">
        <is>
          <t>9 月版本规划方向</t>
        </is>
      </c>
      <c r="G18" s="23" t="inlineStr">
        <is>
          <t>Cocos 引擎接入</t>
        </is>
      </c>
      <c r="H18" s="23" t="n"/>
      <c r="I18" s="24" t="inlineStr">
        <is>
          <t>优先级高于上一个</t>
        </is>
      </c>
    </row>
    <row r="19" ht="70" customHeight="1" s="52">
      <c r="A19" s="55" t="n"/>
      <c r="B19" s="55" t="n"/>
      <c r="C19" s="32" t="inlineStr">
        <is>
          <t>移动端能力
横屏/竖屏适配 + 部分手机端游戏样例</t>
        </is>
      </c>
      <c r="D19" s="11" t="inlineStr">
        <is>
          <t>万象 v0.4.0(待定)</t>
        </is>
      </c>
      <c r="E19" s="38" t="inlineStr">
        <is>
          <t>约 7 月初(横竖屏)</t>
        </is>
      </c>
      <c r="F19" s="55" t="n"/>
      <c r="G19" s="23" t="inlineStr">
        <is>
          <t>移动端适配(横屏/竖屏)</t>
        </is>
      </c>
      <c r="H19" s="23" t="n"/>
    </row>
    <row r="20">
      <c r="A20" s="55" t="n"/>
      <c r="B20" s="55" t="n"/>
      <c r="C20" s="56" t="n"/>
      <c r="D20" s="11" t="inlineStr">
        <is>
          <t>万象 v0.4.0(待定)</t>
        </is>
      </c>
      <c r="E20" s="38" t="inlineStr">
        <is>
          <t>约 9 月底(手机游戏)</t>
        </is>
      </c>
      <c r="F20" s="55" t="n"/>
      <c r="G20" s="23" t="inlineStr">
        <is>
          <t>加几个手机端游戏样例</t>
        </is>
      </c>
      <c r="H20" s="23" t="n"/>
    </row>
    <row r="21" ht="24" customHeight="1" s="52">
      <c r="A21" s="56" t="n"/>
      <c r="B21" s="56" t="n"/>
      <c r="C21" s="23" t="inlineStr">
        <is>
          <t>Chaos 真正替换
config UI 打通</t>
        </is>
      </c>
      <c r="D21" s="11" t="inlineStr">
        <is>
          <t>万象 v0.4.0(待定)</t>
        </is>
      </c>
      <c r="E21" s="40" t="inlineStr">
        <is>
          <t>约 9 月底</t>
        </is>
      </c>
      <c r="F21" s="56" t="n"/>
      <c r="G21" s="23" t="inlineStr">
        <is>
          <t>config UI 打通(Chaos 真正替换部分,而非外部接入)</t>
        </is>
      </c>
      <c r="H21" s="23" t="n"/>
    </row>
    <row r="22">
      <c r="A22" s="41" t="n"/>
      <c r="B22" s="42" t="n"/>
      <c r="C22" s="44" t="n"/>
      <c r="D22" s="41" t="n"/>
      <c r="E22" s="41" t="n"/>
      <c r="F22" s="41" t="n"/>
      <c r="G22" s="42" t="n"/>
      <c r="H22" s="44" t="n"/>
    </row>
    <row r="23">
      <c r="A23" s="45" t="inlineStr">
        <is>
          <t>G 列类型色标图例:</t>
        </is>
      </c>
      <c r="B23" s="51" t="inlineStr">
        <is>
          <t>功能(无色)</t>
        </is>
      </c>
      <c r="C23" s="47" t="inlineStr">
        <is>
          <t>内功收口</t>
        </is>
      </c>
      <c r="D23" s="48" t="inlineStr">
        <is>
          <t>跨线接口</t>
        </is>
      </c>
      <c r="E23" s="49" t="inlineStr">
        <is>
          <t>前置研究</t>
        </is>
      </c>
      <c r="F23" s="49" t="inlineStr">
        <is>
          <t>研究里程碑</t>
        </is>
      </c>
      <c r="G23" s="50" t="inlineStr">
        <is>
          <t>前置研究实施</t>
        </is>
      </c>
      <c r="H23" s="51" t="inlineStr">
        <is>
          <t>9 月规划占位</t>
        </is>
      </c>
    </row>
    <row r="25" ht="33" customHeight="1" s="52">
      <c r="C25" s="17" t="inlineStr">
        <is>
          <t>榜上的几类小游戏 做游戏样例
如鹅鸭杀的模版</t>
        </is>
      </c>
    </row>
    <row r="26">
      <c r="C26" s="24" t="inlineStr">
        <is>
          <t>程序开发流程改造 做试点</t>
        </is>
      </c>
    </row>
  </sheetData>
  <mergeCells count="13">
    <mergeCell ref="F13:F14"/>
    <mergeCell ref="A17:A21"/>
    <mergeCell ref="F18:F21"/>
    <mergeCell ref="B17:B21"/>
    <mergeCell ref="C3:C4"/>
    <mergeCell ref="E7:E16"/>
    <mergeCell ref="B3:B16"/>
    <mergeCell ref="A3:A16"/>
    <mergeCell ref="E3:E5"/>
    <mergeCell ref="F3:F4"/>
    <mergeCell ref="C10:C12"/>
    <mergeCell ref="C13:C14"/>
    <mergeCell ref="C19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M29"/>
  <sheetViews>
    <sheetView zoomScale="85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style="52" min="1" max="1"/>
    <col width="18" customWidth="1" style="52" min="2" max="2"/>
    <col width="30" customWidth="1" style="52" min="3" max="3"/>
    <col width="26" customWidth="1" style="52" min="4" max="4"/>
    <col width="10" customWidth="1" style="52" min="5" max="5"/>
    <col width="14" customWidth="1" style="52" min="6" max="6"/>
    <col width="42" customWidth="1" style="52" min="7" max="7"/>
    <col width="42" customWidth="1" style="52" min="8" max="8"/>
    <col width="38" customWidth="1" style="52" min="9" max="9"/>
    <col width="38" customWidth="1" style="52" min="10" max="10"/>
    <col width="3" customWidth="1" style="52" min="11" max="11"/>
    <col width="16" customWidth="1" style="52" min="12" max="12"/>
    <col width="10" customWidth="1" style="52" min="13" max="13"/>
  </cols>
  <sheetData>
    <row r="1" ht="30" customHeight="1" s="52">
      <c r="A1" s="57" t="inlineStr">
        <is>
          <t>万象游戏创作平台 Roadmap 细化版</t>
        </is>
      </c>
    </row>
    <row r="2" ht="30" customHeight="1" s="52">
      <c r="A2" s="58" t="inlineStr">
        <is>
          <t>基于 2026-06-11 项目现状、0604 底稿和当前代码 README 梳理；原底稿保留在首个页签，本页用于版本评审与需求拆解。</t>
        </is>
      </c>
    </row>
    <row r="4" ht="28" customHeight="1" s="52">
      <c r="A4" s="59" t="inlineStr">
        <is>
          <t>需求总数</t>
        </is>
      </c>
      <c r="B4" s="60">
        <f>COUNTA(A9:A29)</f>
        <v/>
      </c>
      <c r="C4" s="59" t="inlineStr">
        <is>
          <t>高优先级</t>
        </is>
      </c>
      <c r="D4" s="60">
        <f>COUNTIF(E9:E29,"高")</f>
        <v/>
      </c>
      <c r="E4" s="59" t="inlineStr">
        <is>
          <t>v0.2 需求</t>
        </is>
      </c>
      <c r="F4" s="60">
        <f>COUNTIF(D9:D29,"*v0.2*")</f>
        <v/>
      </c>
      <c r="G4" s="59" t="inlineStr">
        <is>
          <t>待验收/进行中</t>
        </is>
      </c>
      <c r="H4" s="60">
        <f>COUNTIF(F9:F29,"待验收")+COUNTIF(F9:F29,"进行中")</f>
        <v/>
      </c>
      <c r="L4" s="61" t="inlineStr">
        <is>
          <t>版本</t>
        </is>
      </c>
      <c r="M4" s="61" t="inlineStr">
        <is>
          <t>需求数</t>
        </is>
      </c>
    </row>
    <row r="5" ht="28" customHeight="1" s="52">
      <c r="A5" s="62" t="inlineStr">
        <is>
          <t>核心口径</t>
        </is>
      </c>
      <c r="B5" s="63" t="inlineStr">
        <is>
          <t>先保 Godot + AI CLI + Web 导出闭环</t>
        </is>
      </c>
      <c r="C5" s="62" t="inlineStr">
        <is>
          <t>资源口径</t>
        </is>
      </c>
      <c r="D5" s="63" t="inlineStr">
        <is>
          <t>v0.2 手动导入优先</t>
        </is>
      </c>
      <c r="E5" s="62" t="inlineStr">
        <is>
          <t>跨线口径</t>
        </is>
      </c>
      <c r="F5" s="63" t="inlineStr">
        <is>
          <t>账号/大赛先定协议</t>
        </is>
      </c>
      <c r="G5" s="62" t="inlineStr">
        <is>
          <t>后置口径</t>
        </is>
      </c>
      <c r="H5" s="63" t="inlineStr">
        <is>
          <t>Cocos/Chaos/手机样例 9 月规划</t>
        </is>
      </c>
      <c r="L5" t="inlineStr">
        <is>
          <t>v0.1 alpha</t>
        </is>
      </c>
      <c r="M5">
        <f>COUNTIF($D$9:$D$29,"*v0.1*")</f>
        <v/>
      </c>
    </row>
    <row r="6">
      <c r="L6" t="inlineStr">
        <is>
          <t>v0.2</t>
        </is>
      </c>
      <c r="M6">
        <f>COUNTIF($D$9:$D$29,"*v0.2*")</f>
        <v/>
      </c>
    </row>
    <row r="7">
      <c r="L7" t="inlineStr">
        <is>
          <t>研究</t>
        </is>
      </c>
      <c r="M7">
        <f>COUNTIF($D$9:$D$29,"*研究*")</f>
        <v/>
      </c>
    </row>
    <row r="8">
      <c r="A8" s="64" t="inlineStr">
        <is>
          <t>需求ID</t>
        </is>
      </c>
      <c r="B8" s="64" t="inlineStr">
        <is>
          <t>模块</t>
        </is>
      </c>
      <c r="C8" s="64" t="inlineStr">
        <is>
          <t>需求/能力</t>
        </is>
      </c>
      <c r="D8" s="64" t="inlineStr">
        <is>
          <t>版本/时间</t>
        </is>
      </c>
      <c r="E8" s="64" t="inlineStr">
        <is>
          <t>优先级</t>
        </is>
      </c>
      <c r="F8" s="64" t="inlineStr">
        <is>
          <t>当前状态</t>
        </is>
      </c>
      <c r="G8" s="64" t="inlineStr">
        <is>
          <t>范围拆解</t>
        </is>
      </c>
      <c r="H8" s="64" t="inlineStr">
        <is>
          <t>验收标准</t>
        </is>
      </c>
      <c r="I8" s="64" t="inlineStr">
        <is>
          <t>依赖/风险</t>
        </is>
      </c>
      <c r="J8" s="64" t="inlineStr">
        <is>
          <t>后续动作</t>
        </is>
      </c>
      <c r="L8" t="inlineStr">
        <is>
          <t>v0.4/规划</t>
        </is>
      </c>
      <c r="M8">
        <f>COUNTIF($D$9:$D$29,"*v0.4*")+COUNTIF($D$9:$D$29,"*规划占位*")</f>
        <v/>
      </c>
    </row>
    <row r="9" ht="76" customHeight="1" s="52">
      <c r="A9" s="65" t="inlineStr">
        <is>
          <t>REQ-001</t>
        </is>
      </c>
      <c r="B9" s="65" t="inlineStr">
        <is>
          <t>Godot 引擎与项目工程</t>
        </is>
      </c>
      <c r="C9" s="65" t="inlineStr">
        <is>
          <t>Godot 引擎接入基础能力</t>
        </is>
      </c>
      <c r="D9" s="65" t="inlineStr">
        <is>
          <t>万象 v0.1.0-alpha / 2026-06-10</t>
        </is>
      </c>
      <c r="E9" s="65" t="inlineStr">
        <is>
          <t>高</t>
        </is>
      </c>
      <c r="F9" s="65" t="inlineStr">
        <is>
          <t>待验收</t>
        </is>
      </c>
      <c r="G9" s="65" t="inlineStr">
        <is>
          <t>Godot 4 项目识别/创建；2D/3D 模板复制与清理；运行时健康检查；最小 smoke 校验；阻塞原因展示。</t>
        </is>
      </c>
      <c r="H9" s="65" t="inlineStr">
        <is>
          <t>干净机器可创建 2D/3D 项目；Godot GUI 可打开；模板 smoke 返回明确结果；失败时 UI 展示原因和下一步。</t>
        </is>
      </c>
      <c r="I9" s="65" t="inlineStr">
        <is>
          <t>依赖内置 Godot 运行时、模板 export_presets、Windows 路径权限和打包资源目录。</t>
        </is>
      </c>
      <c r="J9" s="65" t="inlineStr">
        <is>
          <t>补内测验收清单，跑 2D/3D 模板、缺引擎、缺导出预设、路径含中文/空格等用例。</t>
        </is>
      </c>
    </row>
    <row r="10" ht="76" customHeight="1" s="52">
      <c r="A10" s="65" t="inlineStr">
        <is>
          <t>REQ-002</t>
        </is>
      </c>
      <c r="B10" s="65" t="inlineStr">
        <is>
          <t>AI CLI 与 Agent 运行</t>
        </is>
      </c>
      <c r="C10" s="65" t="inlineStr">
        <is>
          <t>AI Coding 引擎扩展：Codex + Claude Code</t>
        </is>
      </c>
      <c r="D10" s="65" t="inlineStr">
        <is>
          <t>万象 v0.1.0-alpha / 2026-06-10</t>
        </is>
      </c>
      <c r="E10" s="65" t="inlineStr">
        <is>
          <t>高</t>
        </is>
      </c>
      <c r="F10" s="65" t="inlineStr">
        <is>
          <t>待验收</t>
        </is>
      </c>
      <c r="G10" s="65" t="inlineStr">
        <is>
          <t>保留现有对话入口；统一 ProviderAdapter；CLI 发现/健康检查/命令构建/流式输出/取消；文件变更回传。</t>
        </is>
      </c>
      <c r="H10" s="65" t="inlineStr">
        <is>
          <t>Codex、Claude Code 至少各完成一轮真实项目修改；账号未登录、PATH 缺失、额度不足能被识别并给出修复建议。</t>
        </is>
      </c>
      <c r="I10" s="65" t="inlineStr">
        <is>
          <t>本地 CLI 版本、账号登录态、KSCC 账号打通、Windows shim 和输出格式变化会影响稳定性。</t>
        </is>
      </c>
      <c r="J10" s="65" t="inlineStr">
        <is>
          <t>建立 CLI 兼容矩阵，优先解决冲突问题和账号打通方案。</t>
        </is>
      </c>
    </row>
    <row r="11" ht="76" customHeight="1" s="52">
      <c r="A11" s="65" t="inlineStr">
        <is>
          <t>REQ-003</t>
        </is>
      </c>
      <c r="B11" s="65" t="inlineStr">
        <is>
          <t>用户反馈闭环</t>
        </is>
      </c>
      <c r="C11" s="65" t="inlineStr">
        <is>
          <t>用户使用反馈入口</t>
        </is>
      </c>
      <c r="D11" s="65" t="inlineStr">
        <is>
          <t>万象 v0.1.0-alpha / 内测期</t>
        </is>
      </c>
      <c r="E11" s="65" t="inlineStr">
        <is>
          <t>中</t>
        </is>
      </c>
      <c r="F11" s="65" t="inlineStr">
        <is>
          <t>规划中</t>
        </is>
      </c>
      <c r="G11" s="65" t="inlineStr">
        <is>
          <t>产品内反馈入口；一键联系/加群；自动携带版本、项目、Run、日志尾部、资源健康状态等上下文。</t>
        </is>
      </c>
      <c r="H11" s="65" t="inlineStr">
        <is>
          <t>内测用户能在 30 秒内提交问题；反馈记录可按问题/建议/失败/账号/导出分类；上下文足够研发复现。</t>
        </is>
      </c>
      <c r="I11" s="65" t="inlineStr">
        <is>
          <t>需要明确存储方式、隐私边界、是否上传日志、客服/社群承接方式。</t>
        </is>
      </c>
      <c r="J11" s="65" t="inlineStr">
        <is>
          <t>先定反馈字段和回收渠道，再做轻入口；优先级低于 v0.2 核心链路。</t>
        </is>
      </c>
    </row>
    <row r="12" ht="76" customHeight="1" s="52">
      <c r="A12" s="65" t="inlineStr">
        <is>
          <t>REQ-004</t>
        </is>
      </c>
      <c r="B12" s="65" t="inlineStr">
        <is>
          <t>账号体系与跨线协同</t>
        </is>
      </c>
      <c r="C12" s="65" t="inlineStr">
        <is>
          <t>账号体系技术方案论证</t>
        </is>
      </c>
      <c r="D12" s="65" t="inlineStr">
        <is>
          <t>研究 / 2026-06-20</t>
        </is>
      </c>
      <c r="E12" s="65" t="inlineStr">
        <is>
          <t>中</t>
        </is>
      </c>
      <c r="F12" s="65" t="inlineStr">
        <is>
          <t>研究中</t>
        </is>
      </c>
      <c r="G12" s="65" t="inlineStr">
        <is>
          <t>创作工具与大赛网站账号关系；登录态、token、设备绑定、游客态、KSCC/外部 CLI 账号边界。</t>
        </is>
      </c>
      <c r="H12" s="65" t="inlineStr">
        <is>
          <t>输出技术方案文档，包含推荐路径、接口草案、风险、实施排期和 2026-07-10 大赛接入前置条件。</t>
        </is>
      </c>
      <c r="I12" s="65" t="inlineStr">
        <is>
          <t>大赛网站、账号中心、CLI 服务账号可能属于不同系统，协议和安全口径需要提前对齐。</t>
        </is>
      </c>
      <c r="J12" s="65" t="inlineStr">
        <is>
          <t>约齐官网/账号/客户端负责人，对齐登录态传递与投稿 API。</t>
        </is>
      </c>
    </row>
    <row r="13" ht="76" customHeight="1" s="52">
      <c r="A13" s="65" t="inlineStr">
        <is>
          <t>REQ-005</t>
        </is>
      </c>
      <c r="B13" s="65" t="inlineStr">
        <is>
          <t>素材与生成工具</t>
        </is>
      </c>
      <c r="C13" s="65" t="inlineStr">
        <is>
          <t>文生图接入马良：手动导入优先</t>
        </is>
      </c>
      <c r="D13" s="65" t="inlineStr">
        <is>
          <t>万象 v0.2.0 / 2026-06-30</t>
        </is>
      </c>
      <c r="E13" s="65" t="inlineStr">
        <is>
          <t>中</t>
        </is>
      </c>
      <c r="F13" s="65" t="inlineStr">
        <is>
          <t>进行中</t>
        </is>
      </c>
      <c r="G13" s="65" t="inlineStr">
        <is>
          <t>保留马良画卷外部工具入口；支持用户生成图片后导入项目 assets；进入统一资源清单和素材槽位。</t>
        </is>
      </c>
      <c r="H13" s="65" t="inlineStr">
        <is>
          <t>用户能打开马良、拿到图片、导入当前 Godot 项目、在对话中被 Agent 识别并应用到场景或 UI。</t>
        </is>
      </c>
      <c r="I13" s="65" t="inlineStr">
        <is>
          <t>马良登录态、图片下载、跨域/文件保存、素材命名、重复导入和版权标记都要有明确规则。</t>
        </is>
      </c>
      <c r="J13" s="65" t="inlineStr">
        <is>
          <t>v0.2 只做手动导入和绑定，自动生成/替换流程放到 9 月版本。</t>
        </is>
      </c>
    </row>
    <row r="14" ht="76" customHeight="1" s="52">
      <c r="A14" s="65" t="inlineStr">
        <is>
          <t>REQ-006</t>
        </is>
      </c>
      <c r="B14" s="65" t="inlineStr">
        <is>
          <t>用户反馈闭环</t>
        </is>
      </c>
      <c r="C14" s="65" t="inlineStr">
        <is>
          <t>用户反馈机制完善</t>
        </is>
      </c>
      <c r="D14" s="65" t="inlineStr">
        <is>
          <t>万象 v0.2.0 / 2026-06-30</t>
        </is>
      </c>
      <c r="E14" s="65" t="inlineStr">
        <is>
          <t>低</t>
        </is>
      </c>
      <c r="F14" s="65" t="inlineStr">
        <is>
          <t>规划中</t>
        </is>
      </c>
      <c r="G14" s="65" t="inlineStr">
        <is>
          <t>基于 6/10 内测问题建立标签、优先级、处理状态、FAQ 和痛点聚类。</t>
        </is>
      </c>
      <c r="H14" s="65" t="inlineStr">
        <is>
          <t>每条反馈可关联版本、项目、运行记录和处理状态；周度能输出 Top 问题和改进建议。</t>
        </is>
      </c>
      <c r="I14" s="65" t="inlineStr">
        <is>
          <t>如果没有统一数据结构，反馈会散落在群聊和手工表格里，难以转成研发任务。</t>
        </is>
      </c>
      <c r="J14" s="65" t="inlineStr">
        <is>
          <t>随 v0.2 核心链路一起埋点，但功能入口可后置。</t>
        </is>
      </c>
    </row>
    <row r="15" ht="76" customHeight="1" s="52">
      <c r="A15" s="65" t="inlineStr">
        <is>
          <t>REQ-007</t>
        </is>
      </c>
      <c r="B15" s="65" t="inlineStr">
        <is>
          <t>Godot 引擎与项目工程</t>
        </is>
      </c>
      <c r="C15" s="65" t="inlineStr">
        <is>
          <t>Godot 引擎接入完善：真实工程闭环</t>
        </is>
      </c>
      <c r="D15" s="65" t="inlineStr">
        <is>
          <t>万象 v0.2.0 / 2026-06-30</t>
        </is>
      </c>
      <c r="E15" s="65" t="inlineStr">
        <is>
          <t>高</t>
        </is>
      </c>
      <c r="F15" s="65" t="inlineStr">
        <is>
          <t>进行中</t>
        </is>
      </c>
      <c r="G15" s="65" t="inlineStr">
        <is>
          <t>项目创建/打开/模板选择/健康检查；Agent 修改后触发 import、validate、Web 导出、预览和失败指引。</t>
        </is>
      </c>
      <c r="H15" s="65" t="inlineStr">
        <is>
          <t>用户从一句话到 Web 可玩 zip 的链路稳定；导出失败不会交付旧模板；错误能进入修复回合。</t>
        </is>
      </c>
      <c r="I15" s="65" t="inlineStr">
        <is>
          <t>Godot 导入慢、模板质量、Web 导出依赖、Agent 变更为空、项目路径权限都会影响闭环。</t>
        </is>
      </c>
      <c r="J15" s="65" t="inlineStr">
        <is>
          <t>用真实游戏需求建立回归样例，覆盖 2D、3D、中文项目名、失败修复轮。</t>
        </is>
      </c>
    </row>
    <row r="16" ht="76" customHeight="1" s="52">
      <c r="A16" s="65" t="inlineStr">
        <is>
          <t>REQ-008</t>
        </is>
      </c>
      <c r="B16" s="65" t="inlineStr">
        <is>
          <t>素材与生成工具</t>
        </is>
      </c>
      <c r="C16" s="65" t="inlineStr">
        <is>
          <t>2D 资源管理</t>
        </is>
      </c>
      <c r="D16" s="65" t="inlineStr">
        <is>
          <t>万象 v0.2.0 / 2026-06-30</t>
        </is>
      </c>
      <c r="E16" s="65" t="inlineStr">
        <is>
          <t>高</t>
        </is>
      </c>
      <c r="F16" s="65" t="inlineStr">
        <is>
          <t>待方案</t>
        </is>
      </c>
      <c r="G16" s="65" t="inlineStr">
        <is>
          <t>资源搜索/导入/预览/分类/替换；AssetManifest；素材槽位；与 Agent 提示词和 Godot assets 目录打通。</t>
        </is>
      </c>
      <c r="H16" s="65" t="inlineStr">
        <is>
          <t>用户能把图片资源放入项目并绑定用途；Agent 能看到素材清单；替换素材不破坏场景引用。</t>
        </is>
      </c>
      <c r="I16" s="65" t="inlineStr">
        <is>
          <t>网页式搜索方案、版权来源、资源命名、重复文件、缩略图和项目引用路径需要定规则。</t>
        </is>
      </c>
      <c r="J16" s="65" t="inlineStr">
        <is>
          <t>先出 2D 资源信息架构和最小导入方案，linli 负责项需确认任务边界。</t>
        </is>
      </c>
    </row>
    <row r="17" ht="76" customHeight="1" s="52">
      <c r="A17" s="65" t="inlineStr">
        <is>
          <t>REQ-009</t>
        </is>
      </c>
      <c r="B17" s="65" t="inlineStr">
        <is>
          <t>素材与生成工具</t>
        </is>
      </c>
      <c r="C17" s="65" t="inlineStr">
        <is>
          <t>3D 模型生成沿用混元</t>
        </is>
      </c>
      <c r="D17" s="65" t="inlineStr">
        <is>
          <t>万象 v0.2.0 / 2026-06-30</t>
        </is>
      </c>
      <c r="E17" s="65" t="inlineStr">
        <is>
          <t>高</t>
        </is>
      </c>
      <c r="F17" s="65" t="inlineStr">
        <is>
          <t>规划中</t>
        </is>
      </c>
      <c r="G17" s="65" t="inlineStr">
        <is>
          <t>保留混元 3D 生成机制；支持模型导入、格式校验、贴图归档、预览和替换；复杂自动化后置。</t>
        </is>
      </c>
      <c r="H17" s="65" t="inlineStr">
        <is>
          <t>至少 3 个 GLB/GLTF 模型能导入 3D 模板，材质不丢失，Web 导出后可加载。</t>
        </is>
      </c>
      <c r="I17" s="65" t="inlineStr">
        <is>
          <t>模型格式、贴图路径、体积、动画、Web 性能和许可证风险需要 QA 规则。</t>
        </is>
      </c>
      <c r="J17" s="65" t="inlineStr">
        <is>
          <t>定义 3D 资产验收标准，先做导入/预览/校验，不重写生成链路。</t>
        </is>
      </c>
    </row>
    <row r="18" ht="76" customHeight="1" s="52">
      <c r="A18" s="65" t="inlineStr">
        <is>
          <t>REQ-010</t>
        </is>
      </c>
      <c r="B18" s="65" t="inlineStr">
        <is>
          <t>核心创作链路</t>
        </is>
      </c>
      <c r="C18" s="65" t="inlineStr">
        <is>
          <t>核心创作链路稳定化</t>
        </is>
      </c>
      <c r="D18" s="65" t="inlineStr">
        <is>
          <t>万象 v0.2.0 / 2026-06-30</t>
        </is>
      </c>
      <c r="E18" s="65" t="inlineStr">
        <is>
          <t>高</t>
        </is>
      </c>
      <c r="F18" s="65" t="inlineStr">
        <is>
          <t>进行中</t>
        </is>
      </c>
      <c r="G18" s="65" t="inlineStr">
        <is>
          <t>从用户想法到制作人/策划/程序/美术/QA，再到 Godot 校验、修复、Git 保存、Web 导出和预览。</t>
        </is>
      </c>
      <c r="H18" s="65" t="inlineStr">
        <is>
          <t>5 条真实游戏需求中至少 4 条能生成可玩的 Web 版本；失败案例有明确定位和可继续修复入口。</t>
        </is>
      </c>
      <c r="I18" s="65" t="inlineStr">
        <is>
          <t>Agent 不改文件、生成不可运行代码、QA 反馈不可执行、导出旧模板、上下文过长。</t>
        </is>
      </c>
      <c r="J18" s="65" t="inlineStr">
        <is>
          <t>建立端到端回归任务，按失败类型补保护和修复回合。</t>
        </is>
      </c>
    </row>
    <row r="19" ht="76" customHeight="1" s="52">
      <c r="A19" s="65" t="inlineStr">
        <is>
          <t>REQ-011</t>
        </is>
      </c>
      <c r="B19" s="65" t="inlineStr">
        <is>
          <t>运行可视化与诊断</t>
        </is>
      </c>
      <c r="C19" s="65" t="inlineStr">
        <is>
          <t>AI 运行结果可视化</t>
        </is>
      </c>
      <c r="D19" s="65" t="inlineStr">
        <is>
          <t>万象 v0.2.0 / 2026-06-30</t>
        </is>
      </c>
      <c r="E19" s="65" t="inlineStr">
        <is>
          <t>高</t>
        </is>
      </c>
      <c r="F19" s="65" t="inlineStr">
        <is>
          <t>已具备基础能力</t>
        </is>
      </c>
      <c r="G19" s="65" t="inlineStr">
        <is>
          <t>右侧运行面板；每个 Agent/导出/校验/打包/预览步骤状态；流式输出；失败原因；日志和文件变更摘要。</t>
        </is>
      </c>
      <c r="H19" s="65" t="inlineStr">
        <is>
          <t>用户能看懂当前卡在哪一步；失败信息能定位到 CLI、Godot、导出、zip 或预览；支持取消运行。</t>
        </is>
      </c>
      <c r="I19" s="65" t="inlineStr">
        <is>
          <t>错误信息过长、日志噪声、多个项目并发、取消状态与后台进程一致性。</t>
        </is>
      </c>
      <c r="J19" s="65" t="inlineStr">
        <is>
          <t>补失败分类文案和关键日志链接，减少“运行失败但不知道为什么”。</t>
        </is>
      </c>
    </row>
    <row r="20" ht="76" customHeight="1" s="52">
      <c r="A20" s="65" t="inlineStr">
        <is>
          <t>REQ-012</t>
        </is>
      </c>
      <c r="B20" s="65" t="inlineStr">
        <is>
          <t>大赛投稿与跨线接口</t>
        </is>
      </c>
      <c r="C20" s="65" t="inlineStr">
        <is>
          <t>工具到大赛网站投稿对接</t>
        </is>
      </c>
      <c r="D20" s="65" t="inlineStr">
        <is>
          <t>万象 v0.2.0 / 对齐 2026-07-10 大赛</t>
        </is>
      </c>
      <c r="E20" s="65" t="inlineStr">
        <is>
          <t>中</t>
        </is>
      </c>
      <c r="F20" s="65" t="inlineStr">
        <is>
          <t>依赖外部进度</t>
        </is>
      </c>
      <c r="G20" s="65" t="inlineStr">
        <is>
          <t>工具内生成作品后，对接官网投稿协议；上传 zip/元数据/截图/作者信息；展示提交状态和失败原因。</t>
        </is>
      </c>
      <c r="H20" s="65" t="inlineStr">
        <is>
          <t>用户在工具内完成作品后可跳转或直接投稿；官网能识别作品包和账号；失败可重试。</t>
        </is>
      </c>
      <c r="I20" s="65" t="inlineStr">
        <is>
          <t>官网接口、账号态、包体大小、审核字段、作品截图和隐私协议未确定。</t>
        </is>
      </c>
      <c r="J20" s="65" t="inlineStr">
        <is>
          <t>先了解大赛官网投稿链路进度，锁定协议和最小字段。</t>
        </is>
      </c>
    </row>
    <row r="21" ht="76" customHeight="1" s="52">
      <c r="A21" s="65" t="inlineStr">
        <is>
          <t>REQ-013</t>
        </is>
      </c>
      <c r="B21" s="65" t="inlineStr">
        <is>
          <t>账号体系与跨线协同</t>
        </is>
      </c>
      <c r="C21" s="65" t="inlineStr">
        <is>
          <t>用户登录态/账号体系实施</t>
        </is>
      </c>
      <c r="D21" s="65" t="inlineStr">
        <is>
          <t>万象 v0.2.0 / 方案后实施</t>
        </is>
      </c>
      <c r="E21" s="65" t="inlineStr">
        <is>
          <t>中</t>
        </is>
      </c>
      <c r="F21" s="65" t="inlineStr">
        <is>
          <t>依赖方案</t>
        </is>
      </c>
      <c r="G21" s="65" t="inlineStr">
        <is>
          <t>根据 REQ-004 方案实现登录、会话保存、账号展示、投稿鉴权和退出登录。</t>
        </is>
      </c>
      <c r="H21" s="65" t="inlineStr">
        <is>
          <t>用户账号态能在工具内被识别；投稿或大赛相关能力无需重复登录；token 安全存储。</t>
        </is>
      </c>
      <c r="I21" s="65" t="inlineStr">
        <is>
          <t>安全合规、账号中心接口、自动更新后的配置迁移、离线使用体验。</t>
        </is>
      </c>
      <c r="J21" s="65" t="inlineStr">
        <is>
          <t>等 2026-06-20 技术方案定稿后拆实施 issue。</t>
        </is>
      </c>
    </row>
    <row r="22" ht="76" customHeight="1" s="52">
      <c r="A22" s="65" t="inlineStr">
        <is>
          <t>REQ-014</t>
        </is>
      </c>
      <c r="B22" s="65" t="inlineStr">
        <is>
          <t>研究里程碑</t>
        </is>
      </c>
      <c r="C22" s="65" t="inlineStr">
        <is>
          <t>微信小游戏研究里程碑</t>
        </is>
      </c>
      <c r="D22" s="65" t="inlineStr">
        <is>
          <t>研究 M1 / 2026-06-30</t>
        </is>
      </c>
      <c r="E22" s="65" t="inlineStr">
        <is>
          <t>中</t>
        </is>
      </c>
      <c r="F22" s="65" t="inlineStr">
        <is>
          <t>研究中</t>
        </is>
      </c>
      <c r="G22" s="65" t="inlineStr">
        <is>
          <t>调研 Godot/网页游戏到微信小游戏路径；登录奖励、广告植入、审核限制、性能和包体限制。</t>
        </is>
      </c>
      <c r="H22" s="65" t="inlineStr">
        <is>
          <t>产出调研分析报告、规划讨论稿和技术可行性结论，明确是否进入后续版本实施。</t>
        </is>
      </c>
      <c r="I22" s="65" t="inlineStr">
        <is>
          <t>与主线 Godot Web 导出、Cocos 扩展和大赛节奏竞争资源。</t>
        </is>
      </c>
      <c r="J22" s="65" t="inlineStr">
        <is>
          <t>先作为研究里程碑，不绑定 v0.2 发布。</t>
        </is>
      </c>
    </row>
    <row r="23" ht="76" customHeight="1" s="52">
      <c r="A23" s="65" t="inlineStr">
        <is>
          <t>REQ-015</t>
        </is>
      </c>
      <c r="B23" s="65" t="inlineStr">
        <is>
          <t>多引擎扩展</t>
        </is>
      </c>
      <c r="C23" s="65" t="inlineStr">
        <is>
          <t>Cocos 引擎接入</t>
        </is>
      </c>
      <c r="D23" s="65" t="inlineStr">
        <is>
          <t>万象 v0.4.0 待定 / 约 2026-09-30</t>
        </is>
      </c>
      <c r="E23" s="65" t="inlineStr">
        <is>
          <t>高</t>
        </is>
      </c>
      <c r="F23" s="65" t="inlineStr">
        <is>
          <t>规划占位</t>
        </is>
      </c>
      <c r="G23" s="65" t="inlineStr">
        <is>
          <t>在 Godot 闭环稳定后扩展 Cocos：模板、运行、预览、导出、Agent 上下文和资源目录规则。</t>
        </is>
      </c>
      <c r="H23" s="65" t="inlineStr">
        <is>
          <t>完成 Cocos POC：创建示例、运行预览、导出 Web 包、Agent 修改一次并通过校验。</t>
        </is>
      </c>
      <c r="I23" s="65" t="inlineStr">
        <is>
          <t>多引擎抽象过早会拖慢 v0.2；需要等 Godot Adapter 边界稳定后再抽。</t>
        </is>
      </c>
      <c r="J23" s="65" t="inlineStr">
        <is>
          <t>先沉淀 EngineAdapter 接口草案，9 月前不抢核心链路资源。</t>
        </is>
      </c>
    </row>
    <row r="24" ht="76" customHeight="1" s="52">
      <c r="A24" s="65" t="inlineStr">
        <is>
          <t>REQ-016</t>
        </is>
      </c>
      <c r="B24" s="65" t="inlineStr">
        <is>
          <t>移动端能力</t>
        </is>
      </c>
      <c r="C24" s="65" t="inlineStr">
        <is>
          <t>移动端适配：横屏/竖屏</t>
        </is>
      </c>
      <c r="D24" s="65" t="inlineStr">
        <is>
          <t>万象 v0.4.0 待定 / 约 2026-07 初步验证</t>
        </is>
      </c>
      <c r="E24" s="65" t="inlineStr">
        <is>
          <t>中</t>
        </is>
      </c>
      <c r="F24" s="65" t="inlineStr">
        <is>
          <t>规划中</t>
        </is>
      </c>
      <c r="G24" s="65" t="inlineStr">
        <is>
          <t>移动 Web 预览、横竖屏配置、触控输入、安全区、分辨率适配和模板约束。</t>
        </is>
      </c>
      <c r="H24" s="65" t="inlineStr">
        <is>
          <t>至少一个 2D 模板在手机浏览器横屏/竖屏可操作；导出包说明包含移动适配要求。</t>
        </is>
      </c>
      <c r="I24" s="65" t="inlineStr">
        <is>
          <t>Godot Web 移动性能、输入映射、软键盘、安全区和微信小游戏路线耦合。</t>
        </is>
      </c>
      <c r="J24" s="65" t="inlineStr">
        <is>
          <t>先做横竖屏技术验证，手机游戏样例后置。</t>
        </is>
      </c>
    </row>
    <row r="25" ht="76" customHeight="1" s="52">
      <c r="A25" s="65" t="inlineStr">
        <is>
          <t>REQ-017</t>
        </is>
      </c>
      <c r="B25" s="65" t="inlineStr">
        <is>
          <t>样例与模板</t>
        </is>
      </c>
      <c r="C25" s="65" t="inlineStr">
        <is>
          <t>手机端游戏样例</t>
        </is>
      </c>
      <c r="D25" s="65" t="inlineStr">
        <is>
          <t>万象 v0.4.0 待定 / 约 2026-09-30</t>
        </is>
      </c>
      <c r="E25" s="65" t="inlineStr">
        <is>
          <t>中</t>
        </is>
      </c>
      <c r="F25" s="65" t="inlineStr">
        <is>
          <t>规划占位</t>
        </is>
      </c>
      <c r="G25" s="65" t="inlineStr">
        <is>
          <t>补充适合手机端的可玩样例：轻操作、短局、触控友好、可用于大赛展示。</t>
        </is>
      </c>
      <c r="H25" s="65" t="inlineStr">
        <is>
          <t>至少 3 个手机端样例可创建、预览、导出，并作为 Agent 生成的参考模板。</t>
        </is>
      </c>
      <c r="I25" s="65" t="inlineStr">
        <is>
          <t>样例质量直接影响用户首感，需要玩法、美术和性能一起验收。</t>
        </is>
      </c>
      <c r="J25" s="65" t="inlineStr">
        <is>
          <t>等移动端适配验证后确认样例类型。</t>
        </is>
      </c>
    </row>
    <row r="26" ht="76" customHeight="1" s="52">
      <c r="A26" s="65" t="inlineStr">
        <is>
          <t>REQ-018</t>
        </is>
      </c>
      <c r="B26" s="65" t="inlineStr">
        <is>
          <t>素材与生成工具</t>
        </is>
      </c>
      <c r="C26" s="65" t="inlineStr">
        <is>
          <t>Chaos config UI 打通</t>
        </is>
      </c>
      <c r="D26" s="65" t="inlineStr">
        <is>
          <t>万象 v0.4.0 待定 / 约 2026-09-30</t>
        </is>
      </c>
      <c r="E26" s="65" t="inlineStr">
        <is>
          <t>中</t>
        </is>
      </c>
      <c r="F26" s="65" t="inlineStr">
        <is>
          <t>规划占位</t>
        </is>
      </c>
      <c r="G26" s="65" t="inlineStr">
        <is>
          <t>从外部接入升级为产品内 config UI；支持参数配置、生成记录、资源回写和错误状态。</t>
        </is>
      </c>
      <c r="H26" s="65" t="inlineStr">
        <is>
          <t>用户无需离开创作工具即可配置并触发 Chaos 相关能力，结果进入资源管理体系。</t>
        </is>
      </c>
      <c r="I26" s="65" t="inlineStr">
        <is>
          <t>涉及外部服务 API、账号、成本、失败重试和 UI 复杂度，不能挤占 v0.2 马良手动导入。</t>
        </is>
      </c>
      <c r="J26" s="65" t="inlineStr">
        <is>
          <t>先用马良/混元手动导入沉淀资源管线，再做完整 config UI。</t>
        </is>
      </c>
    </row>
    <row r="27" ht="76" customHeight="1" s="52">
      <c r="A27" s="65" t="inlineStr">
        <is>
          <t>REQ-019</t>
        </is>
      </c>
      <c r="B27" s="65" t="inlineStr">
        <is>
          <t>样例与模板</t>
        </is>
      </c>
      <c r="C27" s="65" t="inlineStr">
        <is>
          <t>热门小游戏样例库</t>
        </is>
      </c>
      <c r="D27" s="65" t="inlineStr">
        <is>
          <t>规划占位 / 7-9 月滚动</t>
        </is>
      </c>
      <c r="E27" s="65" t="inlineStr">
        <is>
          <t>中</t>
        </is>
      </c>
      <c r="F27" s="65" t="inlineStr">
        <is>
          <t>待调研</t>
        </is>
      </c>
      <c r="G27" s="65" t="inlineStr">
        <is>
          <t>参考榜单热门类型，沉淀可复用模板和 Agent 提示词样例，例如多人社交、派对、轻竞技、解谜等方向。</t>
        </is>
      </c>
      <c r="H27" s="65" t="inlineStr">
        <is>
          <t>每类样例有可玩 demo、玩法说明、资产清单、生成提示词和可扩展任务。</t>
        </is>
      </c>
      <c r="I27" s="65" t="inlineStr">
        <is>
          <t>需要规避直接复制热门游戏，同时控制样例研发成本。</t>
        </is>
      </c>
      <c r="J27" s="65" t="inlineStr">
        <is>
          <t>先做市场/榜单拆解，再挑 2-3 类投入样例。</t>
        </is>
      </c>
    </row>
    <row r="28" ht="76" customHeight="1" s="52">
      <c r="A28" s="65" t="inlineStr">
        <is>
          <t>REQ-020</t>
        </is>
      </c>
      <c r="B28" s="65" t="inlineStr">
        <is>
          <t>研发流程与质量</t>
        </is>
      </c>
      <c r="C28" s="65" t="inlineStr">
        <is>
          <t>程序开发流程改造试点</t>
        </is>
      </c>
      <c r="D28" s="65" t="inlineStr">
        <is>
          <t>内部改造 / 7-9 月滚动</t>
        </is>
      </c>
      <c r="E28" s="65" t="inlineStr">
        <is>
          <t>中</t>
        </is>
      </c>
      <c r="F28" s="65" t="inlineStr">
        <is>
          <t>规划中</t>
        </is>
      </c>
      <c r="G28" s="65" t="inlineStr">
        <is>
          <t>把需求拆解、issue、TDD/回归、发布检查和 AI Agent 协作纳入固定流程。</t>
        </is>
      </c>
      <c r="H28" s="65" t="inlineStr">
        <is>
          <t>关键需求都有任务拆解、验收标准、测试命令和发布检查；失败可追踪到 issue。</t>
        </is>
      </c>
      <c r="I28" s="65" t="inlineStr">
        <is>
          <t>流程太重会影响迭代速度；需要先在 v0.2 核心链路试点。</t>
        </is>
      </c>
      <c r="J28" s="65" t="inlineStr">
        <is>
          <t>从本表任务池开始，建立周度更新和完成定义。</t>
        </is>
      </c>
    </row>
    <row r="29" ht="76" customHeight="1" s="52">
      <c r="A29" s="65" t="inlineStr">
        <is>
          <t>REQ-021</t>
        </is>
      </c>
      <c r="B29" s="65" t="inlineStr">
        <is>
          <t>发布与内测交付</t>
        </is>
      </c>
      <c r="C29" s="65" t="inlineStr">
        <is>
          <t>内测发布、安装包与更新链路稳定化</t>
        </is>
      </c>
      <c r="D29" s="65" t="inlineStr">
        <is>
          <t>万象 v0.2.0 / 2026-06-30</t>
        </is>
      </c>
      <c r="E29" s="65" t="inlineStr">
        <is>
          <t>高</t>
        </is>
      </c>
      <c r="F29" s="65" t="inlineStr">
        <is>
          <t>已具备基础能力</t>
        </is>
      </c>
      <c r="G29" s="65" t="inlineStr">
        <is>
          <t>Windows 安装包、更新清单、可选/强制更新、更新日志、安装包校验、发布脚本和冒烟检查。</t>
        </is>
      </c>
      <c r="H29" s="65" t="inlineStr">
        <is>
          <t>内测包可安装、可检查更新、可升级到新版本；发布前 verify:release 通过。</t>
        </is>
      </c>
      <c r="I29" s="65" t="inlineStr">
        <is>
          <t>服务器配置、HTTPS、安装包签名/缓存、latest.yml 与 update.json 一致性。</t>
        </is>
      </c>
      <c r="J29" s="65" t="inlineStr">
        <is>
          <t>把发布流程写成验收清单，v0.2 每次发包前执行。</t>
        </is>
      </c>
    </row>
  </sheetData>
  <mergeCells count="2">
    <mergeCell ref="A1:J1"/>
    <mergeCell ref="A2:J2"/>
  </mergeCells>
  <conditionalFormatting sqref="E9:E29">
    <cfRule type="cellIs" priority="1" operator="equal" dxfId="17">
      <formula>"高"</formula>
    </cfRule>
    <cfRule type="cellIs" priority="2" operator="equal" dxfId="18">
      <formula>"中"</formula>
    </cfRule>
    <cfRule type="cellIs" priority="3" operator="equal" dxfId="19">
      <formula>"低"</formula>
    </cfRule>
  </conditionalFormatting>
  <conditionalFormatting sqref="F9:F29">
    <cfRule type="cellIs" priority="4" operator="equal" dxfId="20">
      <formula>"待验收"</formula>
    </cfRule>
    <cfRule type="cellIs" priority="5" operator="equal" dxfId="21">
      <formula>"进行中"</formula>
    </cfRule>
    <cfRule type="cellIs" priority="6" operator="equal" dxfId="22">
      <formula>"已具备基础能力"</formula>
    </cfRule>
    <cfRule type="cellIs" priority="7" operator="equal" dxfId="23">
      <formula>"规划中"</formula>
    </cfRule>
    <cfRule type="cellIs" priority="8" operator="equal" dxfId="24">
      <formula>"待方案"</formula>
    </cfRule>
    <cfRule type="cellIs" priority="9" operator="equal" dxfId="25">
      <formula>"研究中"</formula>
    </cfRule>
    <cfRule type="cellIs" priority="10" operator="equal" dxfId="26">
      <formula>"依赖方案"</formula>
    </cfRule>
    <cfRule type="cellIs" priority="11" operator="equal" dxfId="26">
      <formula>"依赖外部进度"</formula>
    </cfRule>
    <cfRule type="cellIs" priority="12" operator="equal" dxfId="19">
      <formula>"规划占位"</formula>
    </cfRule>
    <cfRule type="cellIs" priority="13" operator="equal" dxfId="27">
      <formula>"待开始"</formula>
    </cfRule>
  </conditionalFormatting>
  <dataValidations count="2">
    <dataValidation sqref="E9:E29" showDropDown="0" showInputMessage="0" showErrorMessage="0" allowBlank="1" type="list">
      <formula1>"高,中,低,暂缓"</formula1>
    </dataValidation>
    <dataValidation sqref="F9:F29" showDropDown="0" showInputMessage="0" showErrorMessage="0" allowBlank="1" type="list">
      <formula1>"待开始,进行中,待验收,已具备基础能力,规划中,待方案,研究中,依赖方案,依赖外部进度,规划占位,待调研,暂缓"</formula1>
    </dataValidation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N6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52" min="1" max="1"/>
    <col width="12" customWidth="1" style="52" min="2" max="2"/>
    <col width="14" customWidth="1" style="52" min="3" max="3"/>
    <col width="10" customWidth="1" style="52" min="4" max="4"/>
    <col width="10" customWidth="1" style="52" min="5" max="5"/>
    <col width="26" customWidth="1" style="52" min="6" max="6"/>
    <col width="44" customWidth="1" style="52" min="7" max="7"/>
    <col width="26" customWidth="1" style="52" min="8" max="8"/>
    <col width="42" customWidth="1" style="52" min="9" max="9"/>
    <col width="28" customWidth="1" style="52" min="10" max="10"/>
    <col width="18" customWidth="1" style="52" min="11" max="11"/>
    <col width="16" customWidth="1" style="52" min="12" max="12"/>
    <col width="14" customWidth="1" style="52" min="13" max="13"/>
    <col width="24" customWidth="1" style="52" min="14" max="14"/>
  </cols>
  <sheetData>
    <row r="1">
      <c r="A1" s="64" t="inlineStr">
        <is>
          <t>任务ID</t>
        </is>
      </c>
      <c r="B1" s="64" t="inlineStr">
        <is>
          <t>关联需求ID</t>
        </is>
      </c>
      <c r="C1" s="64" t="inlineStr">
        <is>
          <t>版本</t>
        </is>
      </c>
      <c r="D1" s="64" t="inlineStr">
        <is>
          <t>阶段</t>
        </is>
      </c>
      <c r="E1" s="64" t="inlineStr">
        <is>
          <t>优先级</t>
        </is>
      </c>
      <c r="F1" s="64" t="inlineStr">
        <is>
          <t>任务名称</t>
        </is>
      </c>
      <c r="G1" s="64" t="inlineStr">
        <is>
          <t>任务说明</t>
        </is>
      </c>
      <c r="H1" s="64" t="inlineStr">
        <is>
          <t>交付物</t>
        </is>
      </c>
      <c r="I1" s="64" t="inlineStr">
        <is>
          <t>验收标准</t>
        </is>
      </c>
      <c r="J1" s="64" t="inlineStr">
        <is>
          <t>依赖/阻塞</t>
        </is>
      </c>
      <c r="K1" s="64" t="inlineStr">
        <is>
          <t>建议负责人/协作</t>
        </is>
      </c>
      <c r="L1" s="64" t="inlineStr">
        <is>
          <t>状态</t>
        </is>
      </c>
      <c r="M1" s="64" t="inlineStr">
        <is>
          <t>目标日期</t>
        </is>
      </c>
      <c r="N1" s="64" t="inlineStr">
        <is>
          <t>备注</t>
        </is>
      </c>
    </row>
    <row r="2" ht="58" customHeight="1" s="52">
      <c r="A2" s="65" t="inlineStr">
        <is>
          <t>T001</t>
        </is>
      </c>
      <c r="B2" s="65" t="inlineStr">
        <is>
          <t>REQ-001</t>
        </is>
      </c>
      <c r="C2" s="65" t="inlineStr">
        <is>
          <t>v0.1-alpha</t>
        </is>
      </c>
      <c r="D2" s="65" t="inlineStr">
        <is>
          <t>验收</t>
        </is>
      </c>
      <c r="E2" s="65" t="inlineStr">
        <is>
          <t>高</t>
        </is>
      </c>
      <c r="F2" s="65" t="inlineStr">
        <is>
          <t>Godot 运行时体检清单</t>
        </is>
      </c>
      <c r="G2" s="65" t="inlineStr">
        <is>
          <t>列出引擎目录、GUI/控制台可执行文件、版本探测、模板目录、export_presets 必检项。</t>
        </is>
      </c>
      <c r="H2" s="65" t="inlineStr">
        <is>
          <t>体检清单 + UI 状态口径</t>
        </is>
      </c>
      <c r="I2" s="65" t="inlineStr">
        <is>
          <t>缺任一项时有明确错误、修复建议和日志路径。</t>
        </is>
      </c>
      <c r="J2" s="65" t="inlineStr">
        <is>
          <t>内置 engine、resourceRoot</t>
        </is>
      </c>
      <c r="K2" s="65" t="inlineStr">
        <is>
          <t>客户端/QA</t>
        </is>
      </c>
      <c r="L2" s="65" t="inlineStr">
        <is>
          <t>待验收</t>
        </is>
      </c>
      <c r="M2" s="65" t="inlineStr">
        <is>
          <t>2026-06-12</t>
        </is>
      </c>
      <c r="N2" s="65" t="inlineStr"/>
    </row>
    <row r="3" ht="58" customHeight="1" s="52">
      <c r="A3" s="65" t="inlineStr">
        <is>
          <t>T002</t>
        </is>
      </c>
      <c r="B3" s="65" t="inlineStr">
        <is>
          <t>REQ-001</t>
        </is>
      </c>
      <c r="C3" s="65" t="inlineStr">
        <is>
          <t>v0.1-alpha</t>
        </is>
      </c>
      <c r="D3" s="65" t="inlineStr">
        <is>
          <t>验收</t>
        </is>
      </c>
      <c r="E3" s="65" t="inlineStr">
        <is>
          <t>高</t>
        </is>
      </c>
      <c r="F3" s="65" t="inlineStr">
        <is>
          <t>2D/3D 模板复制清理验证</t>
        </is>
      </c>
      <c r="G3" s="65" t="inlineStr">
        <is>
          <t>验证复制新项目时排除 .godot、build、dist 等历史产物。</t>
        </is>
      </c>
      <c r="H3" s="65" t="inlineStr">
        <is>
          <t>模板复制验收记录</t>
        </is>
      </c>
      <c r="I3" s="65" t="inlineStr">
        <is>
          <t>新项目只包含干净模板源码，项目能被 Godot 打开。</t>
        </is>
      </c>
      <c r="J3" s="65" t="inlineStr">
        <is>
          <t>模板目录</t>
        </is>
      </c>
      <c r="K3" s="65" t="inlineStr">
        <is>
          <t>客户端/QA</t>
        </is>
      </c>
      <c r="L3" s="65" t="inlineStr">
        <is>
          <t>待验收</t>
        </is>
      </c>
      <c r="M3" s="65" t="inlineStr">
        <is>
          <t>2026-06-12</t>
        </is>
      </c>
      <c r="N3" s="65" t="inlineStr"/>
    </row>
    <row r="4" ht="58" customHeight="1" s="52">
      <c r="A4" s="65" t="inlineStr">
        <is>
          <t>T003</t>
        </is>
      </c>
      <c r="B4" s="65" t="inlineStr">
        <is>
          <t>REQ-001</t>
        </is>
      </c>
      <c r="C4" s="65" t="inlineStr">
        <is>
          <t>v0.1-alpha</t>
        </is>
      </c>
      <c r="D4" s="65" t="inlineStr">
        <is>
          <t>测试</t>
        </is>
      </c>
      <c r="E4" s="65" t="inlineStr">
        <is>
          <t>高</t>
        </is>
      </c>
      <c r="F4" s="65" t="inlineStr">
        <is>
          <t>模板 smoke 自动化用例</t>
        </is>
      </c>
      <c r="G4" s="65" t="inlineStr">
        <is>
          <t>执行 2D/3D validate_project 与 Web 导出预设检查。</t>
        </is>
      </c>
      <c r="H4" s="65" t="inlineStr">
        <is>
          <t>smoke:templates 结果</t>
        </is>
      </c>
      <c r="I4" s="65" t="inlineStr">
        <is>
          <t>成功/失败都有可读输出；失败不进入后续导出。</t>
        </is>
      </c>
      <c r="J4" s="65" t="inlineStr">
        <is>
          <t>Godot console</t>
        </is>
      </c>
      <c r="K4" s="65" t="inlineStr">
        <is>
          <t>客户端/QA</t>
        </is>
      </c>
      <c r="L4" s="65" t="inlineStr">
        <is>
          <t>待验收</t>
        </is>
      </c>
      <c r="M4" s="65" t="inlineStr">
        <is>
          <t>2026-06-13</t>
        </is>
      </c>
      <c r="N4" s="65" t="inlineStr"/>
    </row>
    <row r="5" ht="58" customHeight="1" s="52">
      <c r="A5" s="65" t="inlineStr">
        <is>
          <t>T004</t>
        </is>
      </c>
      <c r="B5" s="65" t="inlineStr">
        <is>
          <t>REQ-001</t>
        </is>
      </c>
      <c r="C5" s="65" t="inlineStr">
        <is>
          <t>v0.2</t>
        </is>
      </c>
      <c r="D5" s="65" t="inlineStr">
        <is>
          <t>增强</t>
        </is>
      </c>
      <c r="E5" s="65" t="inlineStr">
        <is>
          <t>中</t>
        </is>
      </c>
      <c r="F5" s="65" t="inlineStr">
        <is>
          <t>路径兼容场景覆盖</t>
        </is>
      </c>
      <c r="G5" s="65" t="inlineStr">
        <is>
          <t>覆盖中文路径、空格路径、无权限目录、安装目录误选等情况。</t>
        </is>
      </c>
      <c r="H5" s="65" t="inlineStr">
        <is>
          <t>路径兼容测试表</t>
        </is>
      </c>
      <c r="I5" s="65" t="inlineStr">
        <is>
          <t>所有路径错误能阻断并提示，不破坏用户项目。</t>
        </is>
      </c>
      <c r="J5" s="65" t="inlineStr">
        <is>
          <t>Windows 文件系统</t>
        </is>
      </c>
      <c r="K5" s="65" t="inlineStr">
        <is>
          <t>客户端/QA</t>
        </is>
      </c>
      <c r="L5" s="65" t="inlineStr">
        <is>
          <t>待开始</t>
        </is>
      </c>
      <c r="M5" s="65" t="inlineStr">
        <is>
          <t>2026-06-18</t>
        </is>
      </c>
      <c r="N5" s="65" t="inlineStr"/>
    </row>
    <row r="6" ht="58" customHeight="1" s="52">
      <c r="A6" s="65" t="inlineStr">
        <is>
          <t>T005</t>
        </is>
      </c>
      <c r="B6" s="65" t="inlineStr">
        <is>
          <t>REQ-002</t>
        </is>
      </c>
      <c r="C6" s="65" t="inlineStr">
        <is>
          <t>v0.1-alpha</t>
        </is>
      </c>
      <c r="D6" s="65" t="inlineStr">
        <is>
          <t>验收</t>
        </is>
      </c>
      <c r="E6" s="65" t="inlineStr">
        <is>
          <t>高</t>
        </is>
      </c>
      <c r="F6" s="65" t="inlineStr">
        <is>
          <t>CLI 兼容矩阵</t>
        </is>
      </c>
      <c r="G6" s="65" t="inlineStr">
        <is>
          <t>整理 Codex、Claude Code、KSCC、Kimi 的命令、版本、登录态、headless probe、环境变量。</t>
        </is>
      </c>
      <c r="H6" s="65" t="inlineStr">
        <is>
          <t>CLI 兼容矩阵</t>
        </is>
      </c>
      <c r="I6" s="65" t="inlineStr">
        <is>
          <t>每个 CLI 至少有发现、健康检查、未登录提示和安装建议。</t>
        </is>
      </c>
      <c r="J6" s="65" t="inlineStr">
        <is>
          <t>本地 CLI 安装</t>
        </is>
      </c>
      <c r="K6" s="65" t="inlineStr">
        <is>
          <t>客户端/AI</t>
        </is>
      </c>
      <c r="L6" s="65" t="inlineStr">
        <is>
          <t>进行中</t>
        </is>
      </c>
      <c r="M6" s="65" t="inlineStr">
        <is>
          <t>2026-06-14</t>
        </is>
      </c>
      <c r="N6" s="65" t="inlineStr">
        <is>
          <t>重点解决冲突问题。</t>
        </is>
      </c>
    </row>
    <row r="7" ht="58" customHeight="1" s="52">
      <c r="A7" s="65" t="inlineStr">
        <is>
          <t>T006</t>
        </is>
      </c>
      <c r="B7" s="65" t="inlineStr">
        <is>
          <t>REQ-002</t>
        </is>
      </c>
      <c r="C7" s="65" t="inlineStr">
        <is>
          <t>v0.1-alpha</t>
        </is>
      </c>
      <c r="D7" s="65" t="inlineStr">
        <is>
          <t>验收</t>
        </is>
      </c>
      <c r="E7" s="65" t="inlineStr">
        <is>
          <t>高</t>
        </is>
      </c>
      <c r="F7" s="65" t="inlineStr">
        <is>
          <t>Codex/Claude 真实回合验证</t>
        </is>
      </c>
      <c r="G7" s="65" t="inlineStr">
        <is>
          <t>用同一 Godot 项目分别跑 Codex、Claude Code，验证流式输出、文件变更、完成状态。</t>
        </is>
      </c>
      <c r="H7" s="65" t="inlineStr">
        <is>
          <t>双 CLI 验收记录</t>
        </is>
      </c>
      <c r="I7" s="65" t="inlineStr">
        <is>
          <t>每个 CLI 至少完成一次脚本或场景改动并被 UI 捕获。</t>
        </is>
      </c>
      <c r="J7" s="65" t="inlineStr">
        <is>
          <t>账号登录态</t>
        </is>
      </c>
      <c r="K7" s="65" t="inlineStr">
        <is>
          <t>客户端/QA</t>
        </is>
      </c>
      <c r="L7" s="65" t="inlineStr">
        <is>
          <t>待验收</t>
        </is>
      </c>
      <c r="M7" s="65" t="inlineStr">
        <is>
          <t>2026-06-14</t>
        </is>
      </c>
      <c r="N7" s="65" t="inlineStr"/>
    </row>
    <row r="8" ht="58" customHeight="1" s="52">
      <c r="A8" s="65" t="inlineStr">
        <is>
          <t>T007</t>
        </is>
      </c>
      <c r="B8" s="65" t="inlineStr">
        <is>
          <t>REQ-002</t>
        </is>
      </c>
      <c r="C8" s="65" t="inlineStr">
        <is>
          <t>v0.2</t>
        </is>
      </c>
      <c r="D8" s="65" t="inlineStr">
        <is>
          <t>增强</t>
        </is>
      </c>
      <c r="E8" s="65" t="inlineStr">
        <is>
          <t>高</t>
        </is>
      </c>
      <c r="F8" s="65" t="inlineStr">
        <is>
          <t>认证失败分类文案</t>
        </is>
      </c>
      <c r="G8" s="65" t="inlineStr">
        <is>
          <t>把 401、未登录、额度、命令不存在、权限拒绝等失败分类到统一提示。</t>
        </is>
      </c>
      <c r="H8" s="65" t="inlineStr">
        <is>
          <t>错误分类表 + UI 文案</t>
        </is>
      </c>
      <c r="I8" s="65" t="inlineStr">
        <is>
          <t>用户能按提示完成 login 或切换 CLI。</t>
        </is>
      </c>
      <c r="J8" s="65" t="inlineStr">
        <is>
          <t>CLI 输出格式</t>
        </is>
      </c>
      <c r="K8" s="65" t="inlineStr">
        <is>
          <t>客户端/产品</t>
        </is>
      </c>
      <c r="L8" s="65" t="inlineStr">
        <is>
          <t>待开始</t>
        </is>
      </c>
      <c r="M8" s="65" t="inlineStr">
        <is>
          <t>2026-06-20</t>
        </is>
      </c>
      <c r="N8" s="65" t="inlineStr"/>
    </row>
    <row r="9" ht="58" customHeight="1" s="52">
      <c r="A9" s="65" t="inlineStr">
        <is>
          <t>T008</t>
        </is>
      </c>
      <c r="B9" s="65" t="inlineStr">
        <is>
          <t>REQ-002</t>
        </is>
      </c>
      <c r="C9" s="65" t="inlineStr">
        <is>
          <t>v0.2</t>
        </is>
      </c>
      <c r="D9" s="65" t="inlineStr">
        <is>
          <t>增强</t>
        </is>
      </c>
      <c r="E9" s="65" t="inlineStr">
        <is>
          <t>中</t>
        </is>
      </c>
      <c r="F9" s="65" t="inlineStr">
        <is>
          <t>输出解析与完成判定收口</t>
        </is>
      </c>
      <c r="G9" s="65" t="inlineStr">
        <is>
          <t>统一判断 Agent 是否真正完成、是否产生文件变更、是否应进入导出。</t>
        </is>
      </c>
      <c r="H9" s="65" t="inlineStr">
        <is>
          <t>完成判定规则</t>
        </is>
      </c>
      <c r="I9" s="65" t="inlineStr">
        <is>
          <t>无文件变更时不交付旧模板，并提示继续修改。</t>
        </is>
      </c>
      <c r="J9" s="65" t="inlineStr">
        <is>
          <t>AgentService/WorkflowService</t>
        </is>
      </c>
      <c r="K9" s="65" t="inlineStr">
        <is>
          <t>客户端</t>
        </is>
      </c>
      <c r="L9" s="65" t="inlineStr">
        <is>
          <t>进行中</t>
        </is>
      </c>
      <c r="M9" s="65" t="inlineStr">
        <is>
          <t>2026-06-21</t>
        </is>
      </c>
      <c r="N9" s="65" t="inlineStr"/>
    </row>
    <row r="10" ht="58" customHeight="1" s="52">
      <c r="A10" s="65" t="inlineStr">
        <is>
          <t>T009</t>
        </is>
      </c>
      <c r="B10" s="65" t="inlineStr">
        <is>
          <t>REQ-003</t>
        </is>
      </c>
      <c r="C10" s="65" t="inlineStr">
        <is>
          <t>v0.1-alpha</t>
        </is>
      </c>
      <c r="D10" s="65" t="inlineStr">
        <is>
          <t>产品</t>
        </is>
      </c>
      <c r="E10" s="65" t="inlineStr">
        <is>
          <t>中</t>
        </is>
      </c>
      <c r="F10" s="65" t="inlineStr">
        <is>
          <t>反馈入口位置确认</t>
        </is>
      </c>
      <c r="G10" s="65" t="inlineStr">
        <is>
          <t>决定反馈入口放在顶部、关于弹层、运行失败提示还是项目面板。</t>
        </is>
      </c>
      <c r="H10" s="65" t="inlineStr">
        <is>
          <t>反馈入口交互稿</t>
        </is>
      </c>
      <c r="I10" s="65" t="inlineStr">
        <is>
          <t>内测用户能在不打断创作的情况下提交反馈。</t>
        </is>
      </c>
      <c r="J10" s="65" t="inlineStr">
        <is>
          <t>产品设计</t>
        </is>
      </c>
      <c r="K10" s="65" t="inlineStr">
        <is>
          <t>产品/设计</t>
        </is>
      </c>
      <c r="L10" s="65" t="inlineStr">
        <is>
          <t>待开始</t>
        </is>
      </c>
      <c r="M10" s="65" t="inlineStr">
        <is>
          <t>2026-06-17</t>
        </is>
      </c>
      <c r="N10" s="65" t="inlineStr">
        <is>
          <t>优先级低于核心链路。</t>
        </is>
      </c>
    </row>
    <row r="11" ht="58" customHeight="1" s="52">
      <c r="A11" s="65" t="inlineStr">
        <is>
          <t>T010</t>
        </is>
      </c>
      <c r="B11" s="65" t="inlineStr">
        <is>
          <t>REQ-003</t>
        </is>
      </c>
      <c r="C11" s="65" t="inlineStr">
        <is>
          <t>v0.2</t>
        </is>
      </c>
      <c r="D11" s="65" t="inlineStr">
        <is>
          <t>方案</t>
        </is>
      </c>
      <c r="E11" s="65" t="inlineStr">
        <is>
          <t>中</t>
        </is>
      </c>
      <c r="F11" s="65" t="inlineStr">
        <is>
          <t>反馈上下文字段定义</t>
        </is>
      </c>
      <c r="G11" s="65" t="inlineStr">
        <is>
          <t>定义 appVersion、projectId、runId、agent、CLI、Godot 状态、日志尾部、用户描述等字段。</t>
        </is>
      </c>
      <c r="H11" s="65" t="inlineStr">
        <is>
          <t>反馈 payload 字段表</t>
        </is>
      </c>
      <c r="I11" s="65" t="inlineStr">
        <is>
          <t>字段能支持研发定位 80% 运行失败。</t>
        </is>
      </c>
      <c r="J11" s="65" t="inlineStr">
        <is>
          <t>日志隐私边界</t>
        </is>
      </c>
      <c r="K11" s="65" t="inlineStr">
        <is>
          <t>产品/客户端</t>
        </is>
      </c>
      <c r="L11" s="65" t="inlineStr">
        <is>
          <t>待开始</t>
        </is>
      </c>
      <c r="M11" s="65" t="inlineStr">
        <is>
          <t>2026-06-18</t>
        </is>
      </c>
      <c r="N11" s="65" t="inlineStr"/>
    </row>
    <row r="12" ht="58" customHeight="1" s="52">
      <c r="A12" s="65" t="inlineStr">
        <is>
          <t>T011</t>
        </is>
      </c>
      <c r="B12" s="65" t="inlineStr">
        <is>
          <t>REQ-003</t>
        </is>
      </c>
      <c r="C12" s="65" t="inlineStr">
        <is>
          <t>v0.2</t>
        </is>
      </c>
      <c r="D12" s="65" t="inlineStr">
        <is>
          <t>方案</t>
        </is>
      </c>
      <c r="E12" s="65" t="inlineStr">
        <is>
          <t>低</t>
        </is>
      </c>
      <c r="F12" s="65" t="inlineStr">
        <is>
          <t>反馈存储与回收渠道</t>
        </is>
      </c>
      <c r="G12" s="65" t="inlineStr">
        <is>
          <t>确定本地存储、服务器、表单、飞书/群渠道的 MVP 路径。</t>
        </is>
      </c>
      <c r="H12" s="65" t="inlineStr">
        <is>
          <t>反馈回收方案</t>
        </is>
      </c>
      <c r="I12" s="65" t="inlineStr">
        <is>
          <t>每条反馈能追踪处理状态。</t>
        </is>
      </c>
      <c r="J12" s="65" t="inlineStr">
        <is>
          <t>后端/运营资源</t>
        </is>
      </c>
      <c r="K12" s="65" t="inlineStr">
        <is>
          <t>产品/后端/运营</t>
        </is>
      </c>
      <c r="L12" s="65" t="inlineStr">
        <is>
          <t>待开始</t>
        </is>
      </c>
      <c r="M12" s="65" t="inlineStr">
        <is>
          <t>2026-06-20</t>
        </is>
      </c>
      <c r="N12" s="65" t="inlineStr"/>
    </row>
    <row r="13" ht="58" customHeight="1" s="52">
      <c r="A13" s="65" t="inlineStr">
        <is>
          <t>T012</t>
        </is>
      </c>
      <c r="B13" s="65" t="inlineStr">
        <is>
          <t>REQ-004</t>
        </is>
      </c>
      <c r="C13" s="65" t="inlineStr">
        <is>
          <t>研究</t>
        </is>
      </c>
      <c r="D13" s="65" t="inlineStr">
        <is>
          <t>研究</t>
        </is>
      </c>
      <c r="E13" s="65" t="inlineStr">
        <is>
          <t>中</t>
        </is>
      </c>
      <c r="F13" s="65" t="inlineStr">
        <is>
          <t>账号系统边界调研</t>
        </is>
      </c>
      <c r="G13" s="65" t="inlineStr">
        <is>
          <t>梳理创作工具账号、大赛网站账号、AI CLI 账号、KSCC 账号的边界和打通必要性。</t>
        </is>
      </c>
      <c r="H13" s="65" t="inlineStr">
        <is>
          <t>账号边界图</t>
        </is>
      </c>
      <c r="I13" s="65" t="inlineStr">
        <is>
          <t>明确哪些账号必须统一，哪些只做提示。</t>
        </is>
      </c>
      <c r="J13" s="65" t="inlineStr">
        <is>
          <t>官网/账号团队</t>
        </is>
      </c>
      <c r="K13" s="65" t="inlineStr">
        <is>
          <t>产品/架构</t>
        </is>
      </c>
      <c r="L13" s="65" t="inlineStr">
        <is>
          <t>研究中</t>
        </is>
      </c>
      <c r="M13" s="65" t="inlineStr">
        <is>
          <t>2026-06-15</t>
        </is>
      </c>
      <c r="N13" s="65" t="inlineStr"/>
    </row>
    <row r="14" ht="58" customHeight="1" s="52">
      <c r="A14" s="65" t="inlineStr">
        <is>
          <t>T013</t>
        </is>
      </c>
      <c r="B14" s="65" t="inlineStr">
        <is>
          <t>REQ-004</t>
        </is>
      </c>
      <c r="C14" s="65" t="inlineStr">
        <is>
          <t>研究</t>
        </is>
      </c>
      <c r="D14" s="65" t="inlineStr">
        <is>
          <t>方案</t>
        </is>
      </c>
      <c r="E14" s="65" t="inlineStr">
        <is>
          <t>中</t>
        </is>
      </c>
      <c r="F14" s="65" t="inlineStr">
        <is>
          <t>登录态传递方案</t>
        </is>
      </c>
      <c r="G14" s="65" t="inlineStr">
        <is>
          <t>比较 SSO、网页登录授权、token 注入、设备码、跳转投稿等方案。</t>
        </is>
      </c>
      <c r="H14" s="65" t="inlineStr">
        <is>
          <t>技术方案文档</t>
        </is>
      </c>
      <c r="I14" s="65" t="inlineStr">
        <is>
          <t>推荐路径含安全、开发量、用户体验和风险。</t>
        </is>
      </c>
      <c r="J14" s="65" t="inlineStr">
        <is>
          <t>账号中心接口</t>
        </is>
      </c>
      <c r="K14" s="65" t="inlineStr">
        <is>
          <t>架构/客户端/后端</t>
        </is>
      </c>
      <c r="L14" s="65" t="inlineStr">
        <is>
          <t>研究中</t>
        </is>
      </c>
      <c r="M14" s="65" t="inlineStr">
        <is>
          <t>2026-06-20</t>
        </is>
      </c>
      <c r="N14" s="65" t="inlineStr"/>
    </row>
    <row r="15" ht="58" customHeight="1" s="52">
      <c r="A15" s="65" t="inlineStr">
        <is>
          <t>T014</t>
        </is>
      </c>
      <c r="B15" s="65" t="inlineStr">
        <is>
          <t>REQ-004</t>
        </is>
      </c>
      <c r="C15" s="65" t="inlineStr">
        <is>
          <t>研究</t>
        </is>
      </c>
      <c r="D15" s="65" t="inlineStr">
        <is>
          <t>协同</t>
        </is>
      </c>
      <c r="E15" s="65" t="inlineStr">
        <is>
          <t>中</t>
        </is>
      </c>
      <c r="F15" s="65" t="inlineStr">
        <is>
          <t>大赛前置接口对齐会</t>
        </is>
      </c>
      <c r="G15" s="65" t="inlineStr">
        <is>
          <t>与大赛官网确认投稿、用户、作品包、审核字段和截止时间。</t>
        </is>
      </c>
      <c r="H15" s="65" t="inlineStr">
        <is>
          <t>会议纪要 + API 待办</t>
        </is>
      </c>
      <c r="I15" s="65" t="inlineStr">
        <is>
          <t>形成可实施接口列表。</t>
        </is>
      </c>
      <c r="J15" s="65" t="inlineStr">
        <is>
          <t>大赛官网进度</t>
        </is>
      </c>
      <c r="K15" s="65" t="inlineStr">
        <is>
          <t>产品/官网/客户端</t>
        </is>
      </c>
      <c r="L15" s="65" t="inlineStr">
        <is>
          <t>待开始</t>
        </is>
      </c>
      <c r="M15" s="65" t="inlineStr">
        <is>
          <t>2026-06-20</t>
        </is>
      </c>
      <c r="N15" s="65" t="inlineStr"/>
    </row>
    <row r="16" ht="58" customHeight="1" s="52">
      <c r="A16" s="65" t="inlineStr">
        <is>
          <t>T015</t>
        </is>
      </c>
      <c r="B16" s="65" t="inlineStr">
        <is>
          <t>REQ-005</t>
        </is>
      </c>
      <c r="C16" s="65" t="inlineStr">
        <is>
          <t>v0.2</t>
        </is>
      </c>
      <c r="D16" s="65" t="inlineStr">
        <is>
          <t>实现</t>
        </is>
      </c>
      <c r="E16" s="65" t="inlineStr">
        <is>
          <t>中</t>
        </is>
      </c>
      <c r="F16" s="65" t="inlineStr">
        <is>
          <t>马良入口可用性验证</t>
        </is>
      </c>
      <c r="G16" s="65" t="inlineStr">
        <is>
          <t>验证内嵌马良画卷 webview 的登录态、加载失败、网络失败和刷新行为。</t>
        </is>
      </c>
      <c r="H16" s="65" t="inlineStr">
        <is>
          <t>入口验收记录</t>
        </is>
      </c>
      <c r="I16" s="65" t="inlineStr">
        <is>
          <t>能稳定打开并保留登录态；失败可提示用户。</t>
        </is>
      </c>
      <c r="J16" s="65" t="inlineStr">
        <is>
          <t>马良服务</t>
        </is>
      </c>
      <c r="K16" s="65" t="inlineStr">
        <is>
          <t>客户端/QA</t>
        </is>
      </c>
      <c r="L16" s="65" t="inlineStr">
        <is>
          <t>进行中</t>
        </is>
      </c>
      <c r="M16" s="65" t="inlineStr">
        <is>
          <t>2026-06-18</t>
        </is>
      </c>
      <c r="N16" s="65" t="inlineStr"/>
    </row>
    <row r="17" ht="58" customHeight="1" s="52">
      <c r="A17" s="65" t="inlineStr">
        <is>
          <t>T016</t>
        </is>
      </c>
      <c r="B17" s="65" t="inlineStr">
        <is>
          <t>REQ-005</t>
        </is>
      </c>
      <c r="C17" s="65" t="inlineStr">
        <is>
          <t>v0.2</t>
        </is>
      </c>
      <c r="D17" s="65" t="inlineStr">
        <is>
          <t>实现</t>
        </is>
      </c>
      <c r="E17" s="65" t="inlineStr">
        <is>
          <t>中</t>
        </is>
      </c>
      <c r="F17" s="65" t="inlineStr">
        <is>
          <t>图片导入当前项目</t>
        </is>
      </c>
      <c r="G17" s="65" t="inlineStr">
        <is>
          <t>支持用户选择或拖入马良生成图片，复制到当前 Godot 项目 assets 目录。</t>
        </is>
      </c>
      <c r="H17" s="65" t="inlineStr">
        <is>
          <t>导入功能</t>
        </is>
      </c>
      <c r="I17" s="65" t="inlineStr">
        <is>
          <t>导入后文件名安全、路径可预览、Agent 上下文可见。</t>
        </is>
      </c>
      <c r="J17" s="65" t="inlineStr">
        <is>
          <t>项目文件预览/附件逻辑</t>
        </is>
      </c>
      <c r="K17" s="65" t="inlineStr">
        <is>
          <t>客户端</t>
        </is>
      </c>
      <c r="L17" s="65" t="inlineStr">
        <is>
          <t>待开始</t>
        </is>
      </c>
      <c r="M17" s="65" t="inlineStr">
        <is>
          <t>2026-06-23</t>
        </is>
      </c>
      <c r="N17" s="65" t="inlineStr"/>
    </row>
    <row r="18" ht="58" customHeight="1" s="52">
      <c r="A18" s="65" t="inlineStr">
        <is>
          <t>T017</t>
        </is>
      </c>
      <c r="B18" s="65" t="inlineStr">
        <is>
          <t>REQ-005</t>
        </is>
      </c>
      <c r="C18" s="65" t="inlineStr">
        <is>
          <t>v0.2</t>
        </is>
      </c>
      <c r="D18" s="65" t="inlineStr">
        <is>
          <t>设计</t>
        </is>
      </c>
      <c r="E18" s="65" t="inlineStr">
        <is>
          <t>中</t>
        </is>
      </c>
      <c r="F18" s="65" t="inlineStr">
        <is>
          <t>素材槽位最小模型</t>
        </is>
      </c>
      <c r="G18" s="65" t="inlineStr">
        <is>
          <t>定义角色、背景、UI、道具等 2D 素材用途字段，避免只是一堆文件。</t>
        </is>
      </c>
      <c r="H18" s="65" t="inlineStr">
        <is>
          <t>AssetSlot 字段草案</t>
        </is>
      </c>
      <c r="I18" s="65" t="inlineStr">
        <is>
          <t>导入资源能被标注用途并用于提示词。</t>
        </is>
      </c>
      <c r="J18" s="65" t="inlineStr">
        <is>
          <t>2D 资源管理</t>
        </is>
      </c>
      <c r="K18" s="65" t="inlineStr">
        <is>
          <t>产品/客户端</t>
        </is>
      </c>
      <c r="L18" s="65" t="inlineStr">
        <is>
          <t>待开始</t>
        </is>
      </c>
      <c r="M18" s="65" t="inlineStr">
        <is>
          <t>2026-06-24</t>
        </is>
      </c>
      <c r="N18" s="65" t="inlineStr"/>
    </row>
    <row r="19" ht="58" customHeight="1" s="52">
      <c r="A19" s="65" t="inlineStr">
        <is>
          <t>T018</t>
        </is>
      </c>
      <c r="B19" s="65" t="inlineStr">
        <is>
          <t>REQ-005</t>
        </is>
      </c>
      <c r="C19" s="65" t="inlineStr">
        <is>
          <t>v0.2</t>
        </is>
      </c>
      <c r="D19" s="65" t="inlineStr">
        <is>
          <t>测试</t>
        </is>
      </c>
      <c r="E19" s="65" t="inlineStr">
        <is>
          <t>中</t>
        </is>
      </c>
      <c r="F19" s="65" t="inlineStr">
        <is>
          <t>马良导入到 Godot 场景闭环</t>
        </is>
      </c>
      <c r="G19" s="65" t="inlineStr">
        <is>
          <t>导入一张图后让 Agent 应用到 HUD 或角色占位资源。</t>
        </is>
      </c>
      <c r="H19" s="65" t="inlineStr">
        <is>
          <t>端到端测试记录</t>
        </is>
      </c>
      <c r="I19" s="65" t="inlineStr">
        <is>
          <t>Web 预览中能看到导入素材。</t>
        </is>
      </c>
      <c r="J19" s="65" t="inlineStr">
        <is>
          <t>Agent 能力/Godot 导出</t>
        </is>
      </c>
      <c r="K19" s="65" t="inlineStr">
        <is>
          <t>QA/客户端</t>
        </is>
      </c>
      <c r="L19" s="65" t="inlineStr">
        <is>
          <t>待开始</t>
        </is>
      </c>
      <c r="M19" s="65" t="inlineStr">
        <is>
          <t>2026-06-27</t>
        </is>
      </c>
      <c r="N19" s="65" t="inlineStr"/>
    </row>
    <row r="20" ht="58" customHeight="1" s="52">
      <c r="A20" s="65" t="inlineStr">
        <is>
          <t>T019</t>
        </is>
      </c>
      <c r="B20" s="65" t="inlineStr">
        <is>
          <t>REQ-006</t>
        </is>
      </c>
      <c r="C20" s="65" t="inlineStr">
        <is>
          <t>v0.2</t>
        </is>
      </c>
      <c r="D20" s="65" t="inlineStr">
        <is>
          <t>运营</t>
        </is>
      </c>
      <c r="E20" s="65" t="inlineStr">
        <is>
          <t>低</t>
        </is>
      </c>
      <c r="F20" s="65" t="inlineStr">
        <is>
          <t>内测问题标签体系</t>
        </is>
      </c>
      <c r="G20" s="65" t="inlineStr">
        <is>
          <t>建立问题、建议、账号、导出、素材、性能、崩溃、体验等标签。</t>
        </is>
      </c>
      <c r="H20" s="65" t="inlineStr">
        <is>
          <t>反馈标签表</t>
        </is>
      </c>
      <c r="I20" s="65" t="inlineStr">
        <is>
          <t>每条反馈可落到一个主标签和一个优先级。</t>
        </is>
      </c>
      <c r="J20" s="65" t="inlineStr">
        <is>
          <t>反馈入口</t>
        </is>
      </c>
      <c r="K20" s="65" t="inlineStr">
        <is>
          <t>产品/运营</t>
        </is>
      </c>
      <c r="L20" s="65" t="inlineStr">
        <is>
          <t>待开始</t>
        </is>
      </c>
      <c r="M20" s="65" t="inlineStr">
        <is>
          <t>2026-06-25</t>
        </is>
      </c>
      <c r="N20" s="65" t="inlineStr"/>
    </row>
    <row r="21" ht="58" customHeight="1" s="52">
      <c r="A21" s="65" t="inlineStr">
        <is>
          <t>T020</t>
        </is>
      </c>
      <c r="B21" s="65" t="inlineStr">
        <is>
          <t>REQ-006</t>
        </is>
      </c>
      <c r="C21" s="65" t="inlineStr">
        <is>
          <t>v0.2</t>
        </is>
      </c>
      <c r="D21" s="65" t="inlineStr">
        <is>
          <t>运营</t>
        </is>
      </c>
      <c r="E21" s="65" t="inlineStr">
        <is>
          <t>低</t>
        </is>
      </c>
      <c r="F21" s="65" t="inlineStr">
        <is>
          <t>Top 问题周报模板</t>
        </is>
      </c>
      <c r="G21" s="65" t="inlineStr">
        <is>
          <t>把内测反馈聚类为周报：现象、影响范围、复现、负责人、状态。</t>
        </is>
      </c>
      <c r="H21" s="65" t="inlineStr">
        <is>
          <t>周报模板</t>
        </is>
      </c>
      <c r="I21" s="65" t="inlineStr">
        <is>
          <t>能转成研发任务池。</t>
        </is>
      </c>
      <c r="J21" s="65" t="inlineStr">
        <is>
          <t>反馈数据</t>
        </is>
      </c>
      <c r="K21" s="65" t="inlineStr">
        <is>
          <t>产品/运营</t>
        </is>
      </c>
      <c r="L21" s="65" t="inlineStr">
        <is>
          <t>待开始</t>
        </is>
      </c>
      <c r="M21" s="65" t="inlineStr">
        <is>
          <t>2026-06-28</t>
        </is>
      </c>
      <c r="N21" s="65" t="inlineStr"/>
    </row>
    <row r="22" ht="58" customHeight="1" s="52">
      <c r="A22" s="65" t="inlineStr">
        <is>
          <t>T021</t>
        </is>
      </c>
      <c r="B22" s="65" t="inlineStr">
        <is>
          <t>REQ-007</t>
        </is>
      </c>
      <c r="C22" s="65" t="inlineStr">
        <is>
          <t>v0.2</t>
        </is>
      </c>
      <c r="D22" s="65" t="inlineStr">
        <is>
          <t>实现</t>
        </is>
      </c>
      <c r="E22" s="65" t="inlineStr">
        <is>
          <t>高</t>
        </is>
      </c>
      <c r="F22" s="65" t="inlineStr">
        <is>
          <t>Agent 修改后 Godot import/validate</t>
        </is>
      </c>
      <c r="G22" s="65" t="inlineStr">
        <is>
          <t>Agent 改动脚本、场景、资源后自动或手动触发项目校验。</t>
        </is>
      </c>
      <c r="H22" s="65" t="inlineStr">
        <is>
          <t>校验链路</t>
        </is>
      </c>
      <c r="I22" s="65" t="inlineStr">
        <is>
          <t>失败时进入修复回合并保留输出。</t>
        </is>
      </c>
      <c r="J22" s="65" t="inlineStr">
        <is>
          <t>Godot console</t>
        </is>
      </c>
      <c r="K22" s="65" t="inlineStr">
        <is>
          <t>客户端</t>
        </is>
      </c>
      <c r="L22" s="65" t="inlineStr">
        <is>
          <t>进行中</t>
        </is>
      </c>
      <c r="M22" s="65" t="inlineStr">
        <is>
          <t>2026-06-20</t>
        </is>
      </c>
      <c r="N22" s="65" t="inlineStr"/>
    </row>
    <row r="23" ht="58" customHeight="1" s="52">
      <c r="A23" s="65" t="inlineStr">
        <is>
          <t>T022</t>
        </is>
      </c>
      <c r="B23" s="65" t="inlineStr">
        <is>
          <t>REQ-007</t>
        </is>
      </c>
      <c r="C23" s="65" t="inlineStr">
        <is>
          <t>v0.2</t>
        </is>
      </c>
      <c r="D23" s="65" t="inlineStr">
        <is>
          <t>实现</t>
        </is>
      </c>
      <c r="E23" s="65" t="inlineStr">
        <is>
          <t>高</t>
        </is>
      </c>
      <c r="F23" s="65" t="inlineStr">
        <is>
          <t>Web 导出产物检查</t>
        </is>
      </c>
      <c r="G23" s="65" t="inlineStr">
        <is>
          <t>检查 index.html、wasm、pck、manifest，并记录大小和路径。</t>
        </is>
      </c>
      <c r="H23" s="65" t="inlineStr">
        <is>
          <t>产物检查结果</t>
        </is>
      </c>
      <c r="I23" s="65" t="inlineStr">
        <is>
          <t>缺关键文件时阻断 zip 打包。</t>
        </is>
      </c>
      <c r="J23" s="65" t="inlineStr">
        <is>
          <t>ExportService</t>
        </is>
      </c>
      <c r="K23" s="65" t="inlineStr">
        <is>
          <t>客户端/QA</t>
        </is>
      </c>
      <c r="L23" s="65" t="inlineStr">
        <is>
          <t>已具备基础能力</t>
        </is>
      </c>
      <c r="M23" s="65" t="inlineStr">
        <is>
          <t>2026-06-21</t>
        </is>
      </c>
      <c r="N23" s="65" t="inlineStr">
        <is>
          <t>继续补真实样例。</t>
        </is>
      </c>
    </row>
    <row r="24" ht="58" customHeight="1" s="52">
      <c r="A24" s="65" t="inlineStr">
        <is>
          <t>T023</t>
        </is>
      </c>
      <c r="B24" s="65" t="inlineStr">
        <is>
          <t>REQ-007</t>
        </is>
      </c>
      <c r="C24" s="65" t="inlineStr">
        <is>
          <t>v0.2</t>
        </is>
      </c>
      <c r="D24" s="65" t="inlineStr">
        <is>
          <t>实现</t>
        </is>
      </c>
      <c r="E24" s="65" t="inlineStr">
        <is>
          <t>高</t>
        </is>
      </c>
      <c r="F24" s="65" t="inlineStr">
        <is>
          <t>预览服务失败兜底</t>
        </is>
      </c>
      <c r="G24" s="65" t="inlineStr">
        <is>
          <t>Web 构建缺失、端口占用、旧缓存、路径越界时提示明确。</t>
        </is>
      </c>
      <c r="H24" s="65" t="inlineStr">
        <is>
          <t>预览错误处理</t>
        </is>
      </c>
      <c r="I24" s="65" t="inlineStr">
        <is>
          <t>不会展示陈旧构建；错误可复现。</t>
        </is>
      </c>
      <c r="J24" s="65" t="inlineStr">
        <is>
          <t>PreviewServer</t>
        </is>
      </c>
      <c r="K24" s="65" t="inlineStr">
        <is>
          <t>客户端</t>
        </is>
      </c>
      <c r="L24" s="65" t="inlineStr">
        <is>
          <t>进行中</t>
        </is>
      </c>
      <c r="M24" s="65" t="inlineStr">
        <is>
          <t>2026-06-22</t>
        </is>
      </c>
      <c r="N24" s="65" t="inlineStr"/>
    </row>
    <row r="25" ht="58" customHeight="1" s="52">
      <c r="A25" s="65" t="inlineStr">
        <is>
          <t>T024</t>
        </is>
      </c>
      <c r="B25" s="65" t="inlineStr">
        <is>
          <t>REQ-007</t>
        </is>
      </c>
      <c r="C25" s="65" t="inlineStr">
        <is>
          <t>v0.2</t>
        </is>
      </c>
      <c r="D25" s="65" t="inlineStr">
        <is>
          <t>测试</t>
        </is>
      </c>
      <c r="E25" s="65" t="inlineStr">
        <is>
          <t>高</t>
        </is>
      </c>
      <c r="F25" s="65" t="inlineStr">
        <is>
          <t>真实工程端到端回归</t>
        </is>
      </c>
      <c r="G25" s="65" t="inlineStr">
        <is>
          <t>选 5 条游戏需求，覆盖 2D/3D、素材、脚本、UI、导出。</t>
        </is>
      </c>
      <c r="H25" s="65" t="inlineStr">
        <is>
          <t>回归报告</t>
        </is>
      </c>
      <c r="I25" s="65" t="inlineStr">
        <is>
          <t>至少 4 条成功生成可玩 Web 版本。</t>
        </is>
      </c>
      <c r="J25" s="65" t="inlineStr">
        <is>
          <t>AI CLI/Godot</t>
        </is>
      </c>
      <c r="K25" s="65" t="inlineStr">
        <is>
          <t>QA/产品/客户端</t>
        </is>
      </c>
      <c r="L25" s="65" t="inlineStr">
        <is>
          <t>待开始</t>
        </is>
      </c>
      <c r="M25" s="65" t="inlineStr">
        <is>
          <t>2026-06-28</t>
        </is>
      </c>
      <c r="N25" s="65" t="inlineStr"/>
    </row>
    <row r="26" ht="58" customHeight="1" s="52">
      <c r="A26" s="65" t="inlineStr">
        <is>
          <t>T025</t>
        </is>
      </c>
      <c r="B26" s="65" t="inlineStr">
        <is>
          <t>REQ-008</t>
        </is>
      </c>
      <c r="C26" s="65" t="inlineStr">
        <is>
          <t>v0.2</t>
        </is>
      </c>
      <c r="D26" s="65" t="inlineStr">
        <is>
          <t>方案</t>
        </is>
      </c>
      <c r="E26" s="65" t="inlineStr">
        <is>
          <t>高</t>
        </is>
      </c>
      <c r="F26" s="65" t="inlineStr">
        <is>
          <t>2D 资源信息架构</t>
        </is>
      </c>
      <c r="G26" s="65" t="inlineStr">
        <is>
          <t>定义资源类型、来源、用途、标签、预览图、项目路径、引用关系。</t>
        </is>
      </c>
      <c r="H26" s="65" t="inlineStr">
        <is>
          <t>2D 资源模型方案</t>
        </is>
      </c>
      <c r="I26" s="65" t="inlineStr">
        <is>
          <t>能覆盖马良导入、用户本地导入、样例资源。</t>
        </is>
      </c>
      <c r="J26" s="65" t="inlineStr">
        <is>
          <t>AssetManifest</t>
        </is>
      </c>
      <c r="K26" s="65" t="inlineStr">
        <is>
          <t>产品/客户端（linli 待确认）</t>
        </is>
      </c>
      <c r="L26" s="65" t="inlineStr">
        <is>
          <t>待方案</t>
        </is>
      </c>
      <c r="M26" s="65" t="inlineStr">
        <is>
          <t>2026-06-17</t>
        </is>
      </c>
      <c r="N26" s="65" t="inlineStr"/>
    </row>
    <row r="27" ht="58" customHeight="1" s="52">
      <c r="A27" s="65" t="inlineStr">
        <is>
          <t>T026</t>
        </is>
      </c>
      <c r="B27" s="65" t="inlineStr">
        <is>
          <t>REQ-008</t>
        </is>
      </c>
      <c r="C27" s="65" t="inlineStr">
        <is>
          <t>v0.2</t>
        </is>
      </c>
      <c r="D27" s="65" t="inlineStr">
        <is>
          <t>方案</t>
        </is>
      </c>
      <c r="E27" s="65" t="inlineStr">
        <is>
          <t>高</t>
        </is>
      </c>
      <c r="F27" s="65" t="inlineStr">
        <is>
          <t>资源搜索/网页式方案评估</t>
        </is>
      </c>
      <c r="G27" s="65" t="inlineStr">
        <is>
          <t>评估网页搜索、内置资源库、外部资源站、用户本地导入的 MVP 可行性。</t>
        </is>
      </c>
      <c r="H27" s="65" t="inlineStr">
        <is>
          <t>方案对比表</t>
        </is>
      </c>
      <c r="I27" s="65" t="inlineStr">
        <is>
          <t>明确 v0.2 采用哪条路径。</t>
        </is>
      </c>
      <c r="J27" s="65" t="inlineStr">
        <is>
          <t>版权/网络/资源来源</t>
        </is>
      </c>
      <c r="K27" s="65" t="inlineStr">
        <is>
          <t>产品/设计/客户端</t>
        </is>
      </c>
      <c r="L27" s="65" t="inlineStr">
        <is>
          <t>待方案</t>
        </is>
      </c>
      <c r="M27" s="65" t="inlineStr">
        <is>
          <t>2026-06-19</t>
        </is>
      </c>
      <c r="N27" s="65" t="inlineStr"/>
    </row>
    <row r="28" ht="58" customHeight="1" s="52">
      <c r="A28" s="65" t="inlineStr">
        <is>
          <t>T027</t>
        </is>
      </c>
      <c r="B28" s="65" t="inlineStr">
        <is>
          <t>REQ-008</t>
        </is>
      </c>
      <c r="C28" s="65" t="inlineStr">
        <is>
          <t>v0.2</t>
        </is>
      </c>
      <c r="D28" s="65" t="inlineStr">
        <is>
          <t>实现</t>
        </is>
      </c>
      <c r="E28" s="65" t="inlineStr">
        <is>
          <t>高</t>
        </is>
      </c>
      <c r="F28" s="65" t="inlineStr">
        <is>
          <t>本地 2D 资源导入 MVP</t>
        </is>
      </c>
      <c r="G28" s="65" t="inlineStr">
        <is>
          <t>支持 PNG/JPG/WebP 导入到 assets/images，并生成基础元数据。</t>
        </is>
      </c>
      <c r="H28" s="65" t="inlineStr">
        <is>
          <t>导入 MVP</t>
        </is>
      </c>
      <c r="I28" s="65" t="inlineStr">
        <is>
          <t>导入资源能预览、重命名、删除或替换。</t>
        </is>
      </c>
      <c r="J28" s="65" t="inlineStr">
        <is>
          <t>文件预览服务</t>
        </is>
      </c>
      <c r="K28" s="65" t="inlineStr">
        <is>
          <t>客户端</t>
        </is>
      </c>
      <c r="L28" s="65" t="inlineStr">
        <is>
          <t>待开始</t>
        </is>
      </c>
      <c r="M28" s="65" t="inlineStr">
        <is>
          <t>2026-06-24</t>
        </is>
      </c>
      <c r="N28" s="65" t="inlineStr"/>
    </row>
    <row r="29" ht="58" customHeight="1" s="52">
      <c r="A29" s="65" t="inlineStr">
        <is>
          <t>T028</t>
        </is>
      </c>
      <c r="B29" s="65" t="inlineStr">
        <is>
          <t>REQ-008</t>
        </is>
      </c>
      <c r="C29" s="65" t="inlineStr">
        <is>
          <t>v0.2</t>
        </is>
      </c>
      <c r="D29" s="65" t="inlineStr">
        <is>
          <t>实现</t>
        </is>
      </c>
      <c r="E29" s="65" t="inlineStr">
        <is>
          <t>高</t>
        </is>
      </c>
      <c r="F29" s="65" t="inlineStr">
        <is>
          <t>Agent 上下文注入资源清单</t>
        </is>
      </c>
      <c r="G29" s="65" t="inlineStr">
        <is>
          <t>把导入资源和用途写入 Agent 可读上下文，减少 Agent 不知道素材位置。</t>
        </is>
      </c>
      <c r="H29" s="65" t="inlineStr">
        <is>
          <t>资源上下文段落</t>
        </is>
      </c>
      <c r="I29" s="65" t="inlineStr">
        <is>
          <t>Agent 回复能引用正确 res:// 路径。</t>
        </is>
      </c>
      <c r="J29" s="65" t="inlineStr">
        <is>
          <t>AgentContextService</t>
        </is>
      </c>
      <c r="K29" s="65" t="inlineStr">
        <is>
          <t>客户端/AI</t>
        </is>
      </c>
      <c r="L29" s="65" t="inlineStr">
        <is>
          <t>待开始</t>
        </is>
      </c>
      <c r="M29" s="65" t="inlineStr">
        <is>
          <t>2026-06-25</t>
        </is>
      </c>
      <c r="N29" s="65" t="inlineStr"/>
    </row>
    <row r="30" ht="58" customHeight="1" s="52">
      <c r="A30" s="65" t="inlineStr">
        <is>
          <t>T029</t>
        </is>
      </c>
      <c r="B30" s="65" t="inlineStr">
        <is>
          <t>REQ-008</t>
        </is>
      </c>
      <c r="C30" s="65" t="inlineStr">
        <is>
          <t>v0.2</t>
        </is>
      </c>
      <c r="D30" s="65" t="inlineStr">
        <is>
          <t>测试</t>
        </is>
      </c>
      <c r="E30" s="65" t="inlineStr">
        <is>
          <t>中</t>
        </is>
      </c>
      <c r="F30" s="65" t="inlineStr">
        <is>
          <t>资源替换不破坏引用</t>
        </is>
      </c>
      <c r="G30" s="65" t="inlineStr">
        <is>
          <t>验证替换同用途图片后 Godot 场景引用不丢。</t>
        </is>
      </c>
      <c r="H30" s="65" t="inlineStr">
        <is>
          <t>替换测试用例</t>
        </is>
      </c>
      <c r="I30" s="65" t="inlineStr">
        <is>
          <t>Web 预览显示替换后的资源。</t>
        </is>
      </c>
      <c r="J30" s="65" t="inlineStr">
        <is>
          <t>Godot import</t>
        </is>
      </c>
      <c r="K30" s="65" t="inlineStr">
        <is>
          <t>QA/客户端</t>
        </is>
      </c>
      <c r="L30" s="65" t="inlineStr">
        <is>
          <t>待开始</t>
        </is>
      </c>
      <c r="M30" s="65" t="inlineStr">
        <is>
          <t>2026-06-28</t>
        </is>
      </c>
      <c r="N30" s="65" t="inlineStr"/>
    </row>
    <row r="31" ht="58" customHeight="1" s="52">
      <c r="A31" s="65" t="inlineStr">
        <is>
          <t>T030</t>
        </is>
      </c>
      <c r="B31" s="65" t="inlineStr">
        <is>
          <t>REQ-009</t>
        </is>
      </c>
      <c r="C31" s="65" t="inlineStr">
        <is>
          <t>v0.2</t>
        </is>
      </c>
      <c r="D31" s="65" t="inlineStr">
        <is>
          <t>方案</t>
        </is>
      </c>
      <c r="E31" s="65" t="inlineStr">
        <is>
          <t>高</t>
        </is>
      </c>
      <c r="F31" s="65" t="inlineStr">
        <is>
          <t>混元 3D 现有机制梳理</t>
        </is>
      </c>
      <c r="G31" s="65" t="inlineStr">
        <is>
          <t>明确当前混元生成/下载/导入路径和可复用边界。</t>
        </is>
      </c>
      <c r="H31" s="65" t="inlineStr">
        <is>
          <t>3D 生成机制梳理</t>
        </is>
      </c>
      <c r="I31" s="65" t="inlineStr">
        <is>
          <t>v0.2 不重复造生成链路，只保留接入点。</t>
        </is>
      </c>
      <c r="J31" s="65" t="inlineStr">
        <is>
          <t>混元服务</t>
        </is>
      </c>
      <c r="K31" s="65" t="inlineStr">
        <is>
          <t>产品/算法/客户端</t>
        </is>
      </c>
      <c r="L31" s="65" t="inlineStr">
        <is>
          <t>待开始</t>
        </is>
      </c>
      <c r="M31" s="65" t="inlineStr">
        <is>
          <t>2026-06-18</t>
        </is>
      </c>
      <c r="N31" s="65" t="inlineStr"/>
    </row>
    <row r="32" ht="58" customHeight="1" s="52">
      <c r="A32" s="65" t="inlineStr">
        <is>
          <t>T031</t>
        </is>
      </c>
      <c r="B32" s="65" t="inlineStr">
        <is>
          <t>REQ-009</t>
        </is>
      </c>
      <c r="C32" s="65" t="inlineStr">
        <is>
          <t>v0.2</t>
        </is>
      </c>
      <c r="D32" s="65" t="inlineStr">
        <is>
          <t>实现</t>
        </is>
      </c>
      <c r="E32" s="65" t="inlineStr">
        <is>
          <t>高</t>
        </is>
      </c>
      <c r="F32" s="65" t="inlineStr">
        <is>
          <t>3D 模型导入与格式校验</t>
        </is>
      </c>
      <c r="G32" s="65" t="inlineStr">
        <is>
          <t>支持 GLB/GLTF 及贴图目录归档，校验文件体积和资源引用。</t>
        </is>
      </c>
      <c r="H32" s="65" t="inlineStr">
        <is>
          <t>模型导入 MVP</t>
        </is>
      </c>
      <c r="I32" s="65" t="inlineStr">
        <is>
          <t>至少 3 个模型导入后材质不丢。</t>
        </is>
      </c>
      <c r="J32" s="65" t="inlineStr">
        <is>
          <t>Godot 3D 模板</t>
        </is>
      </c>
      <c r="K32" s="65" t="inlineStr">
        <is>
          <t>客户端/QA</t>
        </is>
      </c>
      <c r="L32" s="65" t="inlineStr">
        <is>
          <t>待开始</t>
        </is>
      </c>
      <c r="M32" s="65" t="inlineStr">
        <is>
          <t>2026-06-25</t>
        </is>
      </c>
      <c r="N32" s="65" t="inlineStr"/>
    </row>
    <row r="33" ht="58" customHeight="1" s="52">
      <c r="A33" s="65" t="inlineStr">
        <is>
          <t>T032</t>
        </is>
      </c>
      <c r="B33" s="65" t="inlineStr">
        <is>
          <t>REQ-009</t>
        </is>
      </c>
      <c r="C33" s="65" t="inlineStr">
        <is>
          <t>v0.2</t>
        </is>
      </c>
      <c r="D33" s="65" t="inlineStr">
        <is>
          <t>测试</t>
        </is>
      </c>
      <c r="E33" s="65" t="inlineStr">
        <is>
          <t>中</t>
        </is>
      </c>
      <c r="F33" s="65" t="inlineStr">
        <is>
          <t>3D Web 导出性能检查</t>
        </is>
      </c>
      <c r="G33" s="65" t="inlineStr">
        <is>
          <t>记录模型大小、加载时间、Web 导出是否成功。</t>
        </is>
      </c>
      <c r="H33" s="65" t="inlineStr">
        <is>
          <t>3D 资源 QA 表</t>
        </is>
      </c>
      <c r="I33" s="65" t="inlineStr">
        <is>
          <t>超限资源有提示，不阻塞普通模型使用。</t>
        </is>
      </c>
      <c r="J33" s="65" t="inlineStr">
        <is>
          <t>Web 导出</t>
        </is>
      </c>
      <c r="K33" s="65" t="inlineStr">
        <is>
          <t>QA/客户端</t>
        </is>
      </c>
      <c r="L33" s="65" t="inlineStr">
        <is>
          <t>待开始</t>
        </is>
      </c>
      <c r="M33" s="65" t="inlineStr">
        <is>
          <t>2026-06-29</t>
        </is>
      </c>
      <c r="N33" s="65" t="inlineStr"/>
    </row>
    <row r="34" ht="58" customHeight="1" s="52">
      <c r="A34" s="65" t="inlineStr">
        <is>
          <t>T033</t>
        </is>
      </c>
      <c r="B34" s="65" t="inlineStr">
        <is>
          <t>REQ-010</t>
        </is>
      </c>
      <c r="C34" s="65" t="inlineStr">
        <is>
          <t>v0.2</t>
        </is>
      </c>
      <c r="D34" s="65" t="inlineStr">
        <is>
          <t>设计</t>
        </is>
      </c>
      <c r="E34" s="65" t="inlineStr">
        <is>
          <t>高</t>
        </is>
      </c>
      <c r="F34" s="65" t="inlineStr">
        <is>
          <t>端到端成功定义</t>
        </is>
      </c>
      <c r="G34" s="65" t="inlineStr">
        <is>
          <t>定义一句话生成游戏的成功标准：可运行、可玩、可预览、可导出、有版本记录。</t>
        </is>
      </c>
      <c r="H34" s="65" t="inlineStr">
        <is>
          <t>成功标准文档</t>
        </is>
      </c>
      <c r="I34" s="65" t="inlineStr">
        <is>
          <t>产品、研发、QA 对完成定义一致。</t>
        </is>
      </c>
      <c r="J34" s="65" t="inlineStr">
        <is>
          <t>核心链路</t>
        </is>
      </c>
      <c r="K34" s="65" t="inlineStr">
        <is>
          <t>产品/QA/客户端</t>
        </is>
      </c>
      <c r="L34" s="65" t="inlineStr">
        <is>
          <t>待开始</t>
        </is>
      </c>
      <c r="M34" s="65" t="inlineStr">
        <is>
          <t>2026-06-15</t>
        </is>
      </c>
      <c r="N34" s="65" t="inlineStr"/>
    </row>
    <row r="35" ht="58" customHeight="1" s="52">
      <c r="A35" s="65" t="inlineStr">
        <is>
          <t>T034</t>
        </is>
      </c>
      <c r="B35" s="65" t="inlineStr">
        <is>
          <t>REQ-010</t>
        </is>
      </c>
      <c r="C35" s="65" t="inlineStr">
        <is>
          <t>v0.2</t>
        </is>
      </c>
      <c r="D35" s="65" t="inlineStr">
        <is>
          <t>实现</t>
        </is>
      </c>
      <c r="E35" s="65" t="inlineStr">
        <is>
          <t>高</t>
        </is>
      </c>
      <c r="F35" s="65" t="inlineStr">
        <is>
          <t>质量修复轮策略</t>
        </is>
      </c>
      <c r="G35" s="65" t="inlineStr">
        <is>
          <t>QA 反馈或 Godot 校验失败时，把上下文交给程序 Agent 修复并复检。</t>
        </is>
      </c>
      <c r="H35" s="65" t="inlineStr">
        <is>
          <t>修复轮策略</t>
        </is>
      </c>
      <c r="I35" s="65" t="inlineStr">
        <is>
          <t>修复后再次校验，仍失败时展示原因。</t>
        </is>
      </c>
      <c r="J35" s="65" t="inlineStr">
        <is>
          <t>WorkflowService</t>
        </is>
      </c>
      <c r="K35" s="65" t="inlineStr">
        <is>
          <t>客户端/AI</t>
        </is>
      </c>
      <c r="L35" s="65" t="inlineStr">
        <is>
          <t>已具备基础能力</t>
        </is>
      </c>
      <c r="M35" s="65" t="inlineStr">
        <is>
          <t>2026-06-20</t>
        </is>
      </c>
      <c r="N35" s="65" t="inlineStr">
        <is>
          <t>继续做真实场景调优。</t>
        </is>
      </c>
    </row>
    <row r="36" ht="58" customHeight="1" s="52">
      <c r="A36" s="65" t="inlineStr">
        <is>
          <t>T035</t>
        </is>
      </c>
      <c r="B36" s="65" t="inlineStr">
        <is>
          <t>REQ-010</t>
        </is>
      </c>
      <c r="C36" s="65" t="inlineStr">
        <is>
          <t>v0.2</t>
        </is>
      </c>
      <c r="D36" s="65" t="inlineStr">
        <is>
          <t>实现</t>
        </is>
      </c>
      <c r="E36" s="65" t="inlineStr">
        <is>
          <t>高</t>
        </is>
      </c>
      <c r="F36" s="65" t="inlineStr">
        <is>
          <t>无文件变更保护</t>
        </is>
      </c>
      <c r="G36" s="65" t="inlineStr">
        <is>
          <t>当 Agent 没有产生项目文件变更时，跳过导出/zip/预览。</t>
        </is>
      </c>
      <c r="H36" s="65" t="inlineStr">
        <is>
          <t>保护逻辑</t>
        </is>
      </c>
      <c r="I36" s="65" t="inlineStr">
        <is>
          <t>不会把旧模板误交付给用户。</t>
        </is>
      </c>
      <c r="J36" s="65" t="inlineStr">
        <is>
          <t>Git/File change</t>
        </is>
      </c>
      <c r="K36" s="65" t="inlineStr">
        <is>
          <t>客户端</t>
        </is>
      </c>
      <c r="L36" s="65" t="inlineStr">
        <is>
          <t>已具备基础能力</t>
        </is>
      </c>
      <c r="M36" s="65" t="inlineStr">
        <is>
          <t>2026-06-20</t>
        </is>
      </c>
      <c r="N36" s="65" t="inlineStr"/>
    </row>
    <row r="37" ht="58" customHeight="1" s="52">
      <c r="A37" s="65" t="inlineStr">
        <is>
          <t>T036</t>
        </is>
      </c>
      <c r="B37" s="65" t="inlineStr">
        <is>
          <t>REQ-010</t>
        </is>
      </c>
      <c r="C37" s="65" t="inlineStr">
        <is>
          <t>v0.2</t>
        </is>
      </c>
      <c r="D37" s="65" t="inlineStr">
        <is>
          <t>测试</t>
        </is>
      </c>
      <c r="E37" s="65" t="inlineStr">
        <is>
          <t>高</t>
        </is>
      </c>
      <c r="F37" s="65" t="inlineStr">
        <is>
          <t>五类游戏需求回归集</t>
        </is>
      </c>
      <c r="G37" s="65" t="inlineStr">
        <is>
          <t>准备平台跳跃、射击、解谜、跑酷、3D 收集等真实需求。</t>
        </is>
      </c>
      <c r="H37" s="65" t="inlineStr">
        <is>
          <t>回归 prompt 集</t>
        </is>
      </c>
      <c r="I37" s="65" t="inlineStr">
        <is>
          <t>每条 prompt 有期望玩法和验收点。</t>
        </is>
      </c>
      <c r="J37" s="65" t="inlineStr">
        <is>
          <t>产品/QA</t>
        </is>
      </c>
      <c r="K37" s="65" t="inlineStr">
        <is>
          <t>产品/QA</t>
        </is>
      </c>
      <c r="L37" s="65" t="inlineStr">
        <is>
          <t>待开始</t>
        </is>
      </c>
      <c r="M37" s="65" t="inlineStr">
        <is>
          <t>2026-06-22</t>
        </is>
      </c>
      <c r="N37" s="65" t="inlineStr"/>
    </row>
    <row r="38" ht="58" customHeight="1" s="52">
      <c r="A38" s="65" t="inlineStr">
        <is>
          <t>T037</t>
        </is>
      </c>
      <c r="B38" s="65" t="inlineStr">
        <is>
          <t>REQ-010</t>
        </is>
      </c>
      <c r="C38" s="65" t="inlineStr">
        <is>
          <t>v0.2</t>
        </is>
      </c>
      <c r="D38" s="65" t="inlineStr">
        <is>
          <t>测试</t>
        </is>
      </c>
      <c r="E38" s="65" t="inlineStr">
        <is>
          <t>高</t>
        </is>
      </c>
      <c r="F38" s="65" t="inlineStr">
        <is>
          <t>v0.2 发布前端到端演练</t>
        </is>
      </c>
      <c r="G38" s="65" t="inlineStr">
        <is>
          <t>完整跑创建、团队工作流、修复、Git、导出、预览、zip。</t>
        </is>
      </c>
      <c r="H38" s="65" t="inlineStr">
        <is>
          <t>发布演练报告</t>
        </is>
      </c>
      <c r="I38" s="65" t="inlineStr">
        <is>
          <t>阻断问题清零或有明确降级方案。</t>
        </is>
      </c>
      <c r="J38" s="65" t="inlineStr">
        <is>
          <t>全部核心能力</t>
        </is>
      </c>
      <c r="K38" s="65" t="inlineStr">
        <is>
          <t>QA/客户端</t>
        </is>
      </c>
      <c r="L38" s="65" t="inlineStr">
        <is>
          <t>待开始</t>
        </is>
      </c>
      <c r="M38" s="65" t="inlineStr">
        <is>
          <t>2026-06-29</t>
        </is>
      </c>
      <c r="N38" s="65" t="inlineStr"/>
    </row>
    <row r="39" ht="58" customHeight="1" s="52">
      <c r="A39" s="65" t="inlineStr">
        <is>
          <t>T038</t>
        </is>
      </c>
      <c r="B39" s="65" t="inlineStr">
        <is>
          <t>REQ-011</t>
        </is>
      </c>
      <c r="C39" s="65" t="inlineStr">
        <is>
          <t>v0.2</t>
        </is>
      </c>
      <c r="D39" s="65" t="inlineStr">
        <is>
          <t>优化</t>
        </is>
      </c>
      <c r="E39" s="65" t="inlineStr">
        <is>
          <t>高</t>
        </is>
      </c>
      <c r="F39" s="65" t="inlineStr">
        <is>
          <t>运行时间线信息密度优化</t>
        </is>
      </c>
      <c r="G39" s="65" t="inlineStr">
        <is>
          <t>让用户区分 Agent、校验、导出、打包、预览每一步状态。</t>
        </is>
      </c>
      <c r="H39" s="65" t="inlineStr">
        <is>
          <t>运行面板优化清单</t>
        </is>
      </c>
      <c r="I39" s="65" t="inlineStr">
        <is>
          <t>卡住时用户能知道正在等什么。</t>
        </is>
      </c>
      <c r="J39" s="65" t="inlineStr">
        <is>
          <t>RunService/UI</t>
        </is>
      </c>
      <c r="K39" s="65" t="inlineStr">
        <is>
          <t>设计/客户端</t>
        </is>
      </c>
      <c r="L39" s="65" t="inlineStr">
        <is>
          <t>进行中</t>
        </is>
      </c>
      <c r="M39" s="65" t="inlineStr">
        <is>
          <t>2026-06-21</t>
        </is>
      </c>
      <c r="N39" s="65" t="inlineStr"/>
    </row>
    <row r="40" ht="58" customHeight="1" s="52">
      <c r="A40" s="65" t="inlineStr">
        <is>
          <t>T039</t>
        </is>
      </c>
      <c r="B40" s="65" t="inlineStr">
        <is>
          <t>REQ-011</t>
        </is>
      </c>
      <c r="C40" s="65" t="inlineStr">
        <is>
          <t>v0.2</t>
        </is>
      </c>
      <c r="D40" s="65" t="inlineStr">
        <is>
          <t>优化</t>
        </is>
      </c>
      <c r="E40" s="65" t="inlineStr">
        <is>
          <t>中</t>
        </is>
      </c>
      <c r="F40" s="65" t="inlineStr">
        <is>
          <t>失败原因与下一步指引</t>
        </is>
      </c>
      <c r="G40" s="65" t="inlineStr">
        <is>
          <t>把 CLI/Godot/导出/预览/Git 错误转成用户可执行建议。</t>
        </is>
      </c>
      <c r="H40" s="65" t="inlineStr">
        <is>
          <t>错误文案库</t>
        </is>
      </c>
      <c r="I40" s="65" t="inlineStr">
        <is>
          <t>常见失败不只显示 stderr。</t>
        </is>
      </c>
      <c r="J40" s="65" t="inlineStr">
        <is>
          <t>错误分类</t>
        </is>
      </c>
      <c r="K40" s="65" t="inlineStr">
        <is>
          <t>产品/客户端</t>
        </is>
      </c>
      <c r="L40" s="65" t="inlineStr">
        <is>
          <t>待开始</t>
        </is>
      </c>
      <c r="M40" s="65" t="inlineStr">
        <is>
          <t>2026-06-24</t>
        </is>
      </c>
      <c r="N40" s="65" t="inlineStr"/>
    </row>
    <row r="41" ht="58" customHeight="1" s="52">
      <c r="A41" s="65" t="inlineStr">
        <is>
          <t>T040</t>
        </is>
      </c>
      <c r="B41" s="65" t="inlineStr">
        <is>
          <t>REQ-011</t>
        </is>
      </c>
      <c r="C41" s="65" t="inlineStr">
        <is>
          <t>v0.2</t>
        </is>
      </c>
      <c r="D41" s="65" t="inlineStr">
        <is>
          <t>实现</t>
        </is>
      </c>
      <c r="E41" s="65" t="inlineStr">
        <is>
          <t>中</t>
        </is>
      </c>
      <c r="F41" s="65" t="inlineStr">
        <is>
          <t>日志与证据入口</t>
        </is>
      </c>
      <c r="G41" s="65" t="inlineStr">
        <is>
          <t>在失败步骤提供 app.log、project.log、Agent 上下文、变更文件入口。</t>
        </is>
      </c>
      <c r="H41" s="65" t="inlineStr">
        <is>
          <t>证据入口</t>
        </is>
      </c>
      <c r="I41" s="65" t="inlineStr">
        <is>
          <t>研发能快速定位失败上下文。</t>
        </is>
      </c>
      <c r="J41" s="65" t="inlineStr">
        <is>
          <t>日志服务/文件预览</t>
        </is>
      </c>
      <c r="K41" s="65" t="inlineStr">
        <is>
          <t>客户端/QA</t>
        </is>
      </c>
      <c r="L41" s="65" t="inlineStr">
        <is>
          <t>待开始</t>
        </is>
      </c>
      <c r="M41" s="65" t="inlineStr">
        <is>
          <t>2026-06-26</t>
        </is>
      </c>
      <c r="N41" s="65" t="inlineStr"/>
    </row>
    <row r="42" ht="58" customHeight="1" s="52">
      <c r="A42" s="65" t="inlineStr">
        <is>
          <t>T041</t>
        </is>
      </c>
      <c r="B42" s="65" t="inlineStr">
        <is>
          <t>REQ-012</t>
        </is>
      </c>
      <c r="C42" s="65" t="inlineStr">
        <is>
          <t>v0.2</t>
        </is>
      </c>
      <c r="D42" s="65" t="inlineStr">
        <is>
          <t>调研</t>
        </is>
      </c>
      <c r="E42" s="65" t="inlineStr">
        <is>
          <t>中</t>
        </is>
      </c>
      <c r="F42" s="65" t="inlineStr">
        <is>
          <t>大赛投稿字段清单</t>
        </is>
      </c>
      <c r="G42" s="65" t="inlineStr">
        <is>
          <t>确认作品名、作者、账号、简介、标签、截图、zip、manifest、版本等字段。</t>
        </is>
      </c>
      <c r="H42" s="65" t="inlineStr">
        <is>
          <t>投稿字段表</t>
        </is>
      </c>
      <c r="I42" s="65" t="inlineStr">
        <is>
          <t>字段与官网表单/接口一致。</t>
        </is>
      </c>
      <c r="J42" s="65" t="inlineStr">
        <is>
          <t>大赛官网</t>
        </is>
      </c>
      <c r="K42" s="65" t="inlineStr">
        <is>
          <t>产品/官网</t>
        </is>
      </c>
      <c r="L42" s="65" t="inlineStr">
        <is>
          <t>待开始</t>
        </is>
      </c>
      <c r="M42" s="65" t="inlineStr">
        <is>
          <t>2026-06-18</t>
        </is>
      </c>
      <c r="N42" s="65" t="inlineStr"/>
    </row>
    <row r="43" ht="58" customHeight="1" s="52">
      <c r="A43" s="65" t="inlineStr">
        <is>
          <t>T042</t>
        </is>
      </c>
      <c r="B43" s="65" t="inlineStr">
        <is>
          <t>REQ-012</t>
        </is>
      </c>
      <c r="C43" s="65" t="inlineStr">
        <is>
          <t>v0.2</t>
        </is>
      </c>
      <c r="D43" s="65" t="inlineStr">
        <is>
          <t>方案</t>
        </is>
      </c>
      <c r="E43" s="65" t="inlineStr">
        <is>
          <t>中</t>
        </is>
      </c>
      <c r="F43" s="65" t="inlineStr">
        <is>
          <t>投稿方式决策</t>
        </is>
      </c>
      <c r="G43" s="65" t="inlineStr">
        <is>
          <t>选择直接 API 投稿、工具跳转官网带包、或导出后人工上传。</t>
        </is>
      </c>
      <c r="H43" s="65" t="inlineStr">
        <is>
          <t>投稿 MVP 方案</t>
        </is>
      </c>
      <c r="I43" s="65" t="inlineStr">
        <is>
          <t>2026-07-10 前可落地。</t>
        </is>
      </c>
      <c r="J43" s="65" t="inlineStr">
        <is>
          <t>账号方案/官网进度</t>
        </is>
      </c>
      <c r="K43" s="65" t="inlineStr">
        <is>
          <t>产品/架构</t>
        </is>
      </c>
      <c r="L43" s="65" t="inlineStr">
        <is>
          <t>待开始</t>
        </is>
      </c>
      <c r="M43" s="65" t="inlineStr">
        <is>
          <t>2026-06-24</t>
        </is>
      </c>
      <c r="N43" s="65" t="inlineStr"/>
    </row>
    <row r="44" ht="58" customHeight="1" s="52">
      <c r="A44" s="65" t="inlineStr">
        <is>
          <t>T043</t>
        </is>
      </c>
      <c r="B44" s="65" t="inlineStr">
        <is>
          <t>REQ-012</t>
        </is>
      </c>
      <c r="C44" s="65" t="inlineStr">
        <is>
          <t>v0.2</t>
        </is>
      </c>
      <c r="D44" s="65" t="inlineStr">
        <is>
          <t>实现</t>
        </is>
      </c>
      <c r="E44" s="65" t="inlineStr">
        <is>
          <t>中</t>
        </is>
      </c>
      <c r="F44" s="65" t="inlineStr">
        <is>
          <t>作品包 manifest 对齐</t>
        </is>
      </c>
      <c r="G44" s="65" t="inlineStr">
        <is>
          <t>确保 zip 内 gameaistudio-export.json 满足官网识别需求。</t>
        </is>
      </c>
      <c r="H44" s="65" t="inlineStr">
        <is>
          <t>manifest 字段调整</t>
        </is>
      </c>
      <c r="I44" s="65" t="inlineStr">
        <is>
          <t>官网能读取作品元数据。</t>
        </is>
      </c>
      <c r="J44" s="65" t="inlineStr">
        <is>
          <t>ExportService/官网</t>
        </is>
      </c>
      <c r="K44" s="65" t="inlineStr">
        <is>
          <t>客户端/官网</t>
        </is>
      </c>
      <c r="L44" s="65" t="inlineStr">
        <is>
          <t>待开始</t>
        </is>
      </c>
      <c r="M44" s="65" t="inlineStr">
        <is>
          <t>2026-06-28</t>
        </is>
      </c>
      <c r="N44" s="65" t="inlineStr"/>
    </row>
    <row r="45" ht="58" customHeight="1" s="52">
      <c r="A45" s="65" t="inlineStr">
        <is>
          <t>T044</t>
        </is>
      </c>
      <c r="B45" s="65" t="inlineStr">
        <is>
          <t>REQ-013</t>
        </is>
      </c>
      <c r="C45" s="65" t="inlineStr">
        <is>
          <t>v0.2</t>
        </is>
      </c>
      <c r="D45" s="65" t="inlineStr">
        <is>
          <t>实现</t>
        </is>
      </c>
      <c r="E45" s="65" t="inlineStr">
        <is>
          <t>中</t>
        </is>
      </c>
      <c r="F45" s="65" t="inlineStr">
        <is>
          <t>工具内账号态展示</t>
        </is>
      </c>
      <c r="G45" s="65" t="inlineStr">
        <is>
          <t>根据方案展示已登录/未登录、账号昵称、投稿权限和退出入口。</t>
        </is>
      </c>
      <c r="H45" s="65" t="inlineStr">
        <is>
          <t>账号状态 UI</t>
        </is>
      </c>
      <c r="I45" s="65" t="inlineStr">
        <is>
          <t>用户知道当前投稿账号。</t>
        </is>
      </c>
      <c r="J45" s="65" t="inlineStr">
        <is>
          <t>账号方案</t>
        </is>
      </c>
      <c r="K45" s="65" t="inlineStr">
        <is>
          <t>客户端/设计</t>
        </is>
      </c>
      <c r="L45" s="65" t="inlineStr">
        <is>
          <t>依赖方案</t>
        </is>
      </c>
      <c r="M45" s="65" t="inlineStr">
        <is>
          <t>2026-06-30</t>
        </is>
      </c>
      <c r="N45" s="65" t="inlineStr"/>
    </row>
    <row r="46" ht="58" customHeight="1" s="52">
      <c r="A46" s="65" t="inlineStr">
        <is>
          <t>T045</t>
        </is>
      </c>
      <c r="B46" s="65" t="inlineStr">
        <is>
          <t>REQ-013</t>
        </is>
      </c>
      <c r="C46" s="65" t="inlineStr">
        <is>
          <t>v0.2</t>
        </is>
      </c>
      <c r="D46" s="65" t="inlineStr">
        <is>
          <t>实现</t>
        </is>
      </c>
      <c r="E46" s="65" t="inlineStr">
        <is>
          <t>中</t>
        </is>
      </c>
      <c r="F46" s="65" t="inlineStr">
        <is>
          <t>token 安全存储</t>
        </is>
      </c>
      <c r="G46" s="65" t="inlineStr">
        <is>
          <t>确定并实现 token 存储、刷新、清除、迁移和日志脱敏。</t>
        </is>
      </c>
      <c r="H46" s="65" t="inlineStr">
        <is>
          <t>安全存储实现</t>
        </is>
      </c>
      <c r="I46" s="65" t="inlineStr">
        <is>
          <t>日志不会泄露 token，重启后可保持登录。</t>
        </is>
      </c>
      <c r="J46" s="65" t="inlineStr">
        <is>
          <t>账号中心</t>
        </is>
      </c>
      <c r="K46" s="65" t="inlineStr">
        <is>
          <t>客户端/安全</t>
        </is>
      </c>
      <c r="L46" s="65" t="inlineStr">
        <is>
          <t>依赖方案</t>
        </is>
      </c>
      <c r="M46" s="65" t="inlineStr">
        <is>
          <t>2026-07-03</t>
        </is>
      </c>
      <c r="N46" s="65" t="inlineStr"/>
    </row>
    <row r="47" ht="58" customHeight="1" s="52">
      <c r="A47" s="65" t="inlineStr">
        <is>
          <t>T046</t>
        </is>
      </c>
      <c r="B47" s="65" t="inlineStr">
        <is>
          <t>REQ-014</t>
        </is>
      </c>
      <c r="C47" s="65" t="inlineStr">
        <is>
          <t>研究</t>
        </is>
      </c>
      <c r="D47" s="65" t="inlineStr">
        <is>
          <t>调研</t>
        </is>
      </c>
      <c r="E47" s="65" t="inlineStr">
        <is>
          <t>中</t>
        </is>
      </c>
      <c r="F47" s="65" t="inlineStr">
        <is>
          <t>微信小游戏平台限制调研</t>
        </is>
      </c>
      <c r="G47" s="65" t="inlineStr">
        <is>
          <t>梳理包体、性能、审核、登录、广告、支付/奖励等限制。</t>
        </is>
      </c>
      <c r="H47" s="65" t="inlineStr">
        <is>
          <t>调研分析报告</t>
        </is>
      </c>
      <c r="I47" s="65" t="inlineStr">
        <is>
          <t>列出对当前 Godot Web 链路的影响。</t>
        </is>
      </c>
      <c r="J47" s="65" t="inlineStr">
        <is>
          <t>微信平台文档</t>
        </is>
      </c>
      <c r="K47" s="65" t="inlineStr">
        <is>
          <t>产品/技术</t>
        </is>
      </c>
      <c r="L47" s="65" t="inlineStr">
        <is>
          <t>研究中</t>
        </is>
      </c>
      <c r="M47" s="65" t="inlineStr">
        <is>
          <t>2026-06-24</t>
        </is>
      </c>
      <c r="N47" s="65" t="inlineStr"/>
    </row>
    <row r="48" ht="58" customHeight="1" s="52">
      <c r="A48" s="65" t="inlineStr">
        <is>
          <t>T047</t>
        </is>
      </c>
      <c r="B48" s="65" t="inlineStr">
        <is>
          <t>REQ-014</t>
        </is>
      </c>
      <c r="C48" s="65" t="inlineStr">
        <is>
          <t>研究</t>
        </is>
      </c>
      <c r="D48" s="65" t="inlineStr">
        <is>
          <t>技术</t>
        </is>
      </c>
      <c r="E48" s="65" t="inlineStr">
        <is>
          <t>中</t>
        </is>
      </c>
      <c r="F48" s="65" t="inlineStr">
        <is>
          <t>Godot 到微信小游戏可行性</t>
        </is>
      </c>
      <c r="G48" s="65" t="inlineStr">
        <is>
          <t>验证 Godot Web 产物是否可转小游戏，或是否需要 Cocos/其他路径。</t>
        </is>
      </c>
      <c r="H48" s="65" t="inlineStr">
        <is>
          <t>技术验证结论</t>
        </is>
      </c>
      <c r="I48" s="65" t="inlineStr">
        <is>
          <t>给出推荐方案和不可行点。</t>
        </is>
      </c>
      <c r="J48" s="65" t="inlineStr">
        <is>
          <t>Godot/Cocos</t>
        </is>
      </c>
      <c r="K48" s="65" t="inlineStr">
        <is>
          <t>架构/客户端</t>
        </is>
      </c>
      <c r="L48" s="65" t="inlineStr">
        <is>
          <t>研究中</t>
        </is>
      </c>
      <c r="M48" s="65" t="inlineStr">
        <is>
          <t>2026-06-28</t>
        </is>
      </c>
      <c r="N48" s="65" t="inlineStr"/>
    </row>
    <row r="49" ht="58" customHeight="1" s="52">
      <c r="A49" s="65" t="inlineStr">
        <is>
          <t>T048</t>
        </is>
      </c>
      <c r="B49" s="65" t="inlineStr">
        <is>
          <t>REQ-014</t>
        </is>
      </c>
      <c r="C49" s="65" t="inlineStr">
        <is>
          <t>研究</t>
        </is>
      </c>
      <c r="D49" s="65" t="inlineStr">
        <is>
          <t>规划</t>
        </is>
      </c>
      <c r="E49" s="65" t="inlineStr">
        <is>
          <t>低</t>
        </is>
      </c>
      <c r="F49" s="65" t="inlineStr">
        <is>
          <t>微信小游戏规划讨论稿</t>
        </is>
      </c>
      <c r="G49" s="65" t="inlineStr">
        <is>
          <t>明确是否进入 7-9 月版本，以及与移动端/账号/广告的关系。</t>
        </is>
      </c>
      <c r="H49" s="65" t="inlineStr">
        <is>
          <t>规划讨论稿</t>
        </is>
      </c>
      <c r="I49" s="65" t="inlineStr">
        <is>
          <t>能用于立项或放弃决策。</t>
        </is>
      </c>
      <c r="J49" s="65" t="inlineStr">
        <is>
          <t>研究结论</t>
        </is>
      </c>
      <c r="K49" s="65" t="inlineStr">
        <is>
          <t>产品/架构</t>
        </is>
      </c>
      <c r="L49" s="65" t="inlineStr">
        <is>
          <t>待开始</t>
        </is>
      </c>
      <c r="M49" s="65" t="inlineStr">
        <is>
          <t>2026-06-30</t>
        </is>
      </c>
      <c r="N49" s="65" t="inlineStr"/>
    </row>
    <row r="50" ht="58" customHeight="1" s="52">
      <c r="A50" s="65" t="inlineStr">
        <is>
          <t>T049</t>
        </is>
      </c>
      <c r="B50" s="65" t="inlineStr">
        <is>
          <t>REQ-015</t>
        </is>
      </c>
      <c r="C50" s="65" t="inlineStr">
        <is>
          <t>v0.4</t>
        </is>
      </c>
      <c r="D50" s="65" t="inlineStr">
        <is>
          <t>技术</t>
        </is>
      </c>
      <c r="E50" s="65" t="inlineStr">
        <is>
          <t>中</t>
        </is>
      </c>
      <c r="F50" s="65" t="inlineStr">
        <is>
          <t>EngineAdapter 接口草案</t>
        </is>
      </c>
      <c r="G50" s="65" t="inlineStr">
        <is>
          <t>从 Godot 抽象创建、打开、校验、导出、预览、资源路径等接口。</t>
        </is>
      </c>
      <c r="H50" s="65" t="inlineStr">
        <is>
          <t>接口草案</t>
        </is>
      </c>
      <c r="I50" s="65" t="inlineStr">
        <is>
          <t>不影响 v0.2 交付，可支撑 Cocos POC。</t>
        </is>
      </c>
      <c r="J50" s="65" t="inlineStr">
        <is>
          <t>Godot 链路稳定</t>
        </is>
      </c>
      <c r="K50" s="65" t="inlineStr">
        <is>
          <t>架构/客户端</t>
        </is>
      </c>
      <c r="L50" s="65" t="inlineStr">
        <is>
          <t>待开始</t>
        </is>
      </c>
      <c r="M50" s="65" t="inlineStr">
        <is>
          <t>2026-07-15</t>
        </is>
      </c>
      <c r="N50" s="65" t="inlineStr"/>
    </row>
    <row r="51" ht="58" customHeight="1" s="52">
      <c r="A51" s="65" t="inlineStr">
        <is>
          <t>T050</t>
        </is>
      </c>
      <c r="B51" s="65" t="inlineStr">
        <is>
          <t>REQ-015</t>
        </is>
      </c>
      <c r="C51" s="65" t="inlineStr">
        <is>
          <t>v0.4</t>
        </is>
      </c>
      <c r="D51" s="65" t="inlineStr">
        <is>
          <t>POC</t>
        </is>
      </c>
      <c r="E51" s="65" t="inlineStr">
        <is>
          <t>高</t>
        </is>
      </c>
      <c r="F51" s="65" t="inlineStr">
        <is>
          <t>Cocos 模板 POC</t>
        </is>
      </c>
      <c r="G51" s="65" t="inlineStr">
        <is>
          <t>准备最小 Cocos 项目模板，验证创建和预览。</t>
        </is>
      </c>
      <c r="H51" s="65" t="inlineStr">
        <is>
          <t>Cocos POC</t>
        </is>
      </c>
      <c r="I51" s="65" t="inlineStr">
        <is>
          <t>能创建、运行、导出 Web。</t>
        </is>
      </c>
      <c r="J51" s="65" t="inlineStr">
        <is>
          <t>Cocos 环境</t>
        </is>
      </c>
      <c r="K51" s="65" t="inlineStr">
        <is>
          <t>客户端</t>
        </is>
      </c>
      <c r="L51" s="65" t="inlineStr">
        <is>
          <t>规划占位</t>
        </is>
      </c>
      <c r="M51" s="65" t="inlineStr">
        <is>
          <t>2026-09-15</t>
        </is>
      </c>
      <c r="N51" s="65" t="inlineStr"/>
    </row>
    <row r="52" ht="58" customHeight="1" s="52">
      <c r="A52" s="65" t="inlineStr">
        <is>
          <t>T051</t>
        </is>
      </c>
      <c r="B52" s="65" t="inlineStr">
        <is>
          <t>REQ-016</t>
        </is>
      </c>
      <c r="C52" s="65" t="inlineStr">
        <is>
          <t>v0.4</t>
        </is>
      </c>
      <c r="D52" s="65" t="inlineStr">
        <is>
          <t>技术</t>
        </is>
      </c>
      <c r="E52" s="65" t="inlineStr">
        <is>
          <t>中</t>
        </is>
      </c>
      <c r="F52" s="65" t="inlineStr">
        <is>
          <t>横竖屏配置验证</t>
        </is>
      </c>
      <c r="G52" s="65" t="inlineStr">
        <is>
          <t>验证 Godot Web 横屏/竖屏、分辨率、缩放和安全区。</t>
        </is>
      </c>
      <c r="H52" s="65" t="inlineStr">
        <is>
          <t>移动适配验证</t>
        </is>
      </c>
      <c r="I52" s="65" t="inlineStr">
        <is>
          <t>手机浏览器可操作且画面不裁切关键 UI。</t>
        </is>
      </c>
      <c r="J52" s="65" t="inlineStr">
        <is>
          <t>Godot Web</t>
        </is>
      </c>
      <c r="K52" s="65" t="inlineStr">
        <is>
          <t>客户端/QA</t>
        </is>
      </c>
      <c r="L52" s="65" t="inlineStr">
        <is>
          <t>待开始</t>
        </is>
      </c>
      <c r="M52" s="65" t="inlineStr">
        <is>
          <t>2026-07-05</t>
        </is>
      </c>
      <c r="N52" s="65" t="inlineStr"/>
    </row>
    <row r="53" ht="58" customHeight="1" s="52">
      <c r="A53" s="65" t="inlineStr">
        <is>
          <t>T052</t>
        </is>
      </c>
      <c r="B53" s="65" t="inlineStr">
        <is>
          <t>REQ-016</t>
        </is>
      </c>
      <c r="C53" s="65" t="inlineStr">
        <is>
          <t>v0.4</t>
        </is>
      </c>
      <c r="D53" s="65" t="inlineStr">
        <is>
          <t>设计</t>
        </is>
      </c>
      <c r="E53" s="65" t="inlineStr">
        <is>
          <t>中</t>
        </is>
      </c>
      <c r="F53" s="65" t="inlineStr">
        <is>
          <t>触控输入规范</t>
        </is>
      </c>
      <c r="G53" s="65" t="inlineStr">
        <is>
          <t>定义虚拟摇杆、点击、滑动、按钮尺寸和 HUD 安全区。</t>
        </is>
      </c>
      <c r="H53" s="65" t="inlineStr">
        <is>
          <t>触控规范</t>
        </is>
      </c>
      <c r="I53" s="65" t="inlineStr">
        <is>
          <t>样例游戏按统一规则实现。</t>
        </is>
      </c>
      <c r="J53" s="65" t="inlineStr">
        <is>
          <t>移动适配验证</t>
        </is>
      </c>
      <c r="K53" s="65" t="inlineStr">
        <is>
          <t>设计/客户端</t>
        </is>
      </c>
      <c r="L53" s="65" t="inlineStr">
        <is>
          <t>待开始</t>
        </is>
      </c>
      <c r="M53" s="65" t="inlineStr">
        <is>
          <t>2026-07-12</t>
        </is>
      </c>
      <c r="N53" s="65" t="inlineStr"/>
    </row>
    <row r="54" ht="58" customHeight="1" s="52">
      <c r="A54" s="65" t="inlineStr">
        <is>
          <t>T053</t>
        </is>
      </c>
      <c r="B54" s="65" t="inlineStr">
        <is>
          <t>REQ-017</t>
        </is>
      </c>
      <c r="C54" s="65" t="inlineStr">
        <is>
          <t>v0.4</t>
        </is>
      </c>
      <c r="D54" s="65" t="inlineStr">
        <is>
          <t>内容</t>
        </is>
      </c>
      <c r="E54" s="65" t="inlineStr">
        <is>
          <t>中</t>
        </is>
      </c>
      <c r="F54" s="65" t="inlineStr">
        <is>
          <t>手机端样例选型</t>
        </is>
      </c>
      <c r="G54" s="65" t="inlineStr">
        <is>
          <t>选择 3 个轻量样例方向并写出玩法边界。</t>
        </is>
      </c>
      <c r="H54" s="65" t="inlineStr">
        <is>
          <t>样例选题表</t>
        </is>
      </c>
      <c r="I54" s="65" t="inlineStr">
        <is>
          <t>每个样例有一句话玩法和素材需求。</t>
        </is>
      </c>
      <c r="J54" s="65" t="inlineStr">
        <is>
          <t>市场/榜单调研</t>
        </is>
      </c>
      <c r="K54" s="65" t="inlineStr">
        <is>
          <t>产品/策划</t>
        </is>
      </c>
      <c r="L54" s="65" t="inlineStr">
        <is>
          <t>规划占位</t>
        </is>
      </c>
      <c r="M54" s="65" t="inlineStr">
        <is>
          <t>2026-08-01</t>
        </is>
      </c>
      <c r="N54" s="65" t="inlineStr"/>
    </row>
    <row r="55" ht="58" customHeight="1" s="52">
      <c r="A55" s="65" t="inlineStr">
        <is>
          <t>T054</t>
        </is>
      </c>
      <c r="B55" s="65" t="inlineStr">
        <is>
          <t>REQ-017</t>
        </is>
      </c>
      <c r="C55" s="65" t="inlineStr">
        <is>
          <t>v0.4</t>
        </is>
      </c>
      <c r="D55" s="65" t="inlineStr">
        <is>
          <t>内容</t>
        </is>
      </c>
      <c r="E55" s="65" t="inlineStr">
        <is>
          <t>中</t>
        </is>
      </c>
      <c r="F55" s="65" t="inlineStr">
        <is>
          <t>手机样例模板制作</t>
        </is>
      </c>
      <c r="G55" s="65" t="inlineStr">
        <is>
          <t>实现 3 个手机端模板并接入创建流程。</t>
        </is>
      </c>
      <c r="H55" s="65" t="inlineStr">
        <is>
          <t>样例模板</t>
        </is>
      </c>
      <c r="I55" s="65" t="inlineStr">
        <is>
          <t>可创建、预览、导出。</t>
        </is>
      </c>
      <c r="J55" s="65" t="inlineStr">
        <is>
          <t>移动适配</t>
        </is>
      </c>
      <c r="K55" s="65" t="inlineStr">
        <is>
          <t>客户端/策划/美术</t>
        </is>
      </c>
      <c r="L55" s="65" t="inlineStr">
        <is>
          <t>规划占位</t>
        </is>
      </c>
      <c r="M55" s="65" t="inlineStr">
        <is>
          <t>2026-09-25</t>
        </is>
      </c>
      <c r="N55" s="65" t="inlineStr"/>
    </row>
    <row r="56" ht="58" customHeight="1" s="52">
      <c r="A56" s="65" t="inlineStr">
        <is>
          <t>T055</t>
        </is>
      </c>
      <c r="B56" s="65" t="inlineStr">
        <is>
          <t>REQ-018</t>
        </is>
      </c>
      <c r="C56" s="65" t="inlineStr">
        <is>
          <t>v0.4</t>
        </is>
      </c>
      <c r="D56" s="65" t="inlineStr">
        <is>
          <t>方案</t>
        </is>
      </c>
      <c r="E56" s="65" t="inlineStr">
        <is>
          <t>中</t>
        </is>
      </c>
      <c r="F56" s="65" t="inlineStr">
        <is>
          <t>Chaos config UI 范围定义</t>
        </is>
      </c>
      <c r="G56" s="65" t="inlineStr">
        <is>
          <t>确认哪些参数产品内配置，哪些仍跳外部工具。</t>
        </is>
      </c>
      <c r="H56" s="65" t="inlineStr">
        <is>
          <t>config UI 方案</t>
        </is>
      </c>
      <c r="I56" s="65" t="inlineStr">
        <is>
          <t>MVP 不扩大到完整自动生成平台。</t>
        </is>
      </c>
      <c r="J56" s="65" t="inlineStr">
        <is>
          <t>Chaos 服务 API</t>
        </is>
      </c>
      <c r="K56" s="65" t="inlineStr">
        <is>
          <t>产品/设计/算法</t>
        </is>
      </c>
      <c r="L56" s="65" t="inlineStr">
        <is>
          <t>规划占位</t>
        </is>
      </c>
      <c r="M56" s="65" t="inlineStr">
        <is>
          <t>2026-08-15</t>
        </is>
      </c>
      <c r="N56" s="65" t="inlineStr"/>
    </row>
    <row r="57" ht="58" customHeight="1" s="52">
      <c r="A57" s="65" t="inlineStr">
        <is>
          <t>T056</t>
        </is>
      </c>
      <c r="B57" s="65" t="inlineStr">
        <is>
          <t>REQ-018</t>
        </is>
      </c>
      <c r="C57" s="65" t="inlineStr">
        <is>
          <t>v0.4</t>
        </is>
      </c>
      <c r="D57" s="65" t="inlineStr">
        <is>
          <t>实现</t>
        </is>
      </c>
      <c r="E57" s="65" t="inlineStr">
        <is>
          <t>中</t>
        </is>
      </c>
      <c r="F57" s="65" t="inlineStr">
        <is>
          <t>生成记录与资源回写</t>
        </is>
      </c>
      <c r="G57" s="65" t="inlineStr">
        <is>
          <t>保存 Chaos 生成记录，并把结果写回资源管理。</t>
        </is>
      </c>
      <c r="H57" s="65" t="inlineStr">
        <is>
          <t>记录/回写 MVP</t>
        </is>
      </c>
      <c r="I57" s="65" t="inlineStr">
        <is>
          <t>生成结果可追踪、可复用。</t>
        </is>
      </c>
      <c r="J57" s="65" t="inlineStr">
        <is>
          <t>资源管理</t>
        </is>
      </c>
      <c r="K57" s="65" t="inlineStr">
        <is>
          <t>客户端/算法</t>
        </is>
      </c>
      <c r="L57" s="65" t="inlineStr">
        <is>
          <t>规划占位</t>
        </is>
      </c>
      <c r="M57" s="65" t="inlineStr">
        <is>
          <t>2026-09-20</t>
        </is>
      </c>
      <c r="N57" s="65" t="inlineStr"/>
    </row>
    <row r="58" ht="58" customHeight="1" s="52">
      <c r="A58" s="65" t="inlineStr">
        <is>
          <t>T057</t>
        </is>
      </c>
      <c r="B58" s="65" t="inlineStr">
        <is>
          <t>REQ-019</t>
        </is>
      </c>
      <c r="C58" s="65" t="inlineStr">
        <is>
          <t>规划</t>
        </is>
      </c>
      <c r="D58" s="65" t="inlineStr">
        <is>
          <t>调研</t>
        </is>
      </c>
      <c r="E58" s="65" t="inlineStr">
        <is>
          <t>中</t>
        </is>
      </c>
      <c r="F58" s="65" t="inlineStr">
        <is>
          <t>热门小游戏类型拆解</t>
        </is>
      </c>
      <c r="G58" s="65" t="inlineStr">
        <is>
          <t>拆榜单游戏的核心循环、操作、关卡、美术要求和可模板化程度。</t>
        </is>
      </c>
      <c r="H58" s="65" t="inlineStr">
        <is>
          <t>类型调研表</t>
        </is>
      </c>
      <c r="I58" s="65" t="inlineStr">
        <is>
          <t>选出 2-3 个适合大赛和 AI 生成的方向。</t>
        </is>
      </c>
      <c r="J58" s="65" t="inlineStr">
        <is>
          <t>市场调研</t>
        </is>
      </c>
      <c r="K58" s="65" t="inlineStr">
        <is>
          <t>产品/策划</t>
        </is>
      </c>
      <c r="L58" s="65" t="inlineStr">
        <is>
          <t>待调研</t>
        </is>
      </c>
      <c r="M58" s="65" t="inlineStr">
        <is>
          <t>2026-07-20</t>
        </is>
      </c>
      <c r="N58" s="65" t="inlineStr"/>
    </row>
    <row r="59" ht="58" customHeight="1" s="52">
      <c r="A59" s="65" t="inlineStr">
        <is>
          <t>T058</t>
        </is>
      </c>
      <c r="B59" s="65" t="inlineStr">
        <is>
          <t>REQ-019</t>
        </is>
      </c>
      <c r="C59" s="65" t="inlineStr">
        <is>
          <t>规划</t>
        </is>
      </c>
      <c r="D59" s="65" t="inlineStr">
        <is>
          <t>内容</t>
        </is>
      </c>
      <c r="E59" s="65" t="inlineStr">
        <is>
          <t>中</t>
        </is>
      </c>
      <c r="F59" s="65" t="inlineStr">
        <is>
          <t>样例提示词库</t>
        </is>
      </c>
      <c r="G59" s="65" t="inlineStr">
        <is>
          <t>为每类样例沉淀制作人/策划/程序/美术/QA 提示词。</t>
        </is>
      </c>
      <c r="H59" s="65" t="inlineStr">
        <is>
          <t>提示词库</t>
        </is>
      </c>
      <c r="I59" s="65" t="inlineStr">
        <is>
          <t>Agent 能按样例稳定生成变体。</t>
        </is>
      </c>
      <c r="J59" s="65" t="inlineStr">
        <is>
          <t>核心链路稳定</t>
        </is>
      </c>
      <c r="K59" s="65" t="inlineStr">
        <is>
          <t>产品/AI/策划</t>
        </is>
      </c>
      <c r="L59" s="65" t="inlineStr">
        <is>
          <t>待开始</t>
        </is>
      </c>
      <c r="M59" s="65" t="inlineStr">
        <is>
          <t>2026-08-15</t>
        </is>
      </c>
      <c r="N59" s="65" t="inlineStr"/>
    </row>
    <row r="60" ht="58" customHeight="1" s="52">
      <c r="A60" s="65" t="inlineStr">
        <is>
          <t>T059</t>
        </is>
      </c>
      <c r="B60" s="65" t="inlineStr">
        <is>
          <t>REQ-020</t>
        </is>
      </c>
      <c r="C60" s="65" t="inlineStr">
        <is>
          <t>内部</t>
        </is>
      </c>
      <c r="D60" s="65" t="inlineStr">
        <is>
          <t>流程</t>
        </is>
      </c>
      <c r="E60" s="65" t="inlineStr">
        <is>
          <t>中</t>
        </is>
      </c>
      <c r="F60" s="65" t="inlineStr">
        <is>
          <t>任务池更新节奏</t>
        </is>
      </c>
      <c r="G60" s="65" t="inlineStr">
        <is>
          <t>把本表作为周会跟踪基线，维护状态、负责人、阻塞和下一步。</t>
        </is>
      </c>
      <c r="H60" s="65" t="inlineStr">
        <is>
          <t>周更机制</t>
        </is>
      </c>
      <c r="I60" s="65" t="inlineStr">
        <is>
          <t>每周至少更新一次状态和阻塞。</t>
        </is>
      </c>
      <c r="J60" s="65" t="inlineStr">
        <is>
          <t>团队执行</t>
        </is>
      </c>
      <c r="K60" s="65" t="inlineStr">
        <is>
          <t>产品/项目管理</t>
        </is>
      </c>
      <c r="L60" s="65" t="inlineStr">
        <is>
          <t>待开始</t>
        </is>
      </c>
      <c r="M60" s="65" t="inlineStr">
        <is>
          <t>2026-06-14</t>
        </is>
      </c>
      <c r="N60" s="65" t="inlineStr"/>
    </row>
    <row r="61" ht="58" customHeight="1" s="52">
      <c r="A61" s="65" t="inlineStr">
        <is>
          <t>T060</t>
        </is>
      </c>
      <c r="B61" s="65" t="inlineStr">
        <is>
          <t>REQ-020</t>
        </is>
      </c>
      <c r="C61" s="65" t="inlineStr">
        <is>
          <t>内部</t>
        </is>
      </c>
      <c r="D61" s="65" t="inlineStr">
        <is>
          <t>质量</t>
        </is>
      </c>
      <c r="E61" s="65" t="inlineStr">
        <is>
          <t>中</t>
        </is>
      </c>
      <c r="F61" s="65" t="inlineStr">
        <is>
          <t>发布前检查门禁</t>
        </is>
      </c>
      <c r="G61" s="65" t="inlineStr">
        <is>
          <t>把 typecheck、test、smoke:webzip、smoke:templates、dist:win 纳入发布清单。</t>
        </is>
      </c>
      <c r="H61" s="65" t="inlineStr">
        <is>
          <t>发布检查清单</t>
        </is>
      </c>
      <c r="I61" s="65" t="inlineStr">
        <is>
          <t>v0.2 发包前按清单执行并记录结果。</t>
        </is>
      </c>
      <c r="J61" s="65" t="inlineStr">
        <is>
          <t>CI/本地环境</t>
        </is>
      </c>
      <c r="K61" s="65" t="inlineStr">
        <is>
          <t>客户端/QA</t>
        </is>
      </c>
      <c r="L61" s="65" t="inlineStr">
        <is>
          <t>已具备基础能力</t>
        </is>
      </c>
      <c r="M61" s="65" t="inlineStr">
        <is>
          <t>2026-06-28</t>
        </is>
      </c>
      <c r="N61" s="65" t="inlineStr"/>
    </row>
    <row r="62" ht="58" customHeight="1" s="52">
      <c r="A62" s="65" t="inlineStr">
        <is>
          <t>T061</t>
        </is>
      </c>
      <c r="B62" s="65" t="inlineStr">
        <is>
          <t>REQ-021</t>
        </is>
      </c>
      <c r="C62" s="65" t="inlineStr">
        <is>
          <t>v0.2</t>
        </is>
      </c>
      <c r="D62" s="65" t="inlineStr">
        <is>
          <t>发布</t>
        </is>
      </c>
      <c r="E62" s="65" t="inlineStr">
        <is>
          <t>高</t>
        </is>
      </c>
      <c r="F62" s="65" t="inlineStr">
        <is>
          <t>安装包 smoke</t>
        </is>
      </c>
      <c r="G62" s="65" t="inlineStr">
        <is>
          <t>安装、启动、创建项目、运行一次团队工作流、检查更新入口。</t>
        </is>
      </c>
      <c r="H62" s="65" t="inlineStr">
        <is>
          <t>安装包验收记录</t>
        </is>
      </c>
      <c r="I62" s="65" t="inlineStr">
        <is>
          <t>旧版本升级和新装都可用。</t>
        </is>
      </c>
      <c r="J62" s="65" t="inlineStr">
        <is>
          <t>Windows installer</t>
        </is>
      </c>
      <c r="K62" s="65" t="inlineStr">
        <is>
          <t>QA/客户端</t>
        </is>
      </c>
      <c r="L62" s="65" t="inlineStr">
        <is>
          <t>待开始</t>
        </is>
      </c>
      <c r="M62" s="65" t="inlineStr">
        <is>
          <t>2026-06-29</t>
        </is>
      </c>
      <c r="N62" s="65" t="inlineStr"/>
    </row>
    <row r="63" ht="58" customHeight="1" s="52">
      <c r="A63" s="65" t="inlineStr">
        <is>
          <t>T062</t>
        </is>
      </c>
      <c r="B63" s="65" t="inlineStr">
        <is>
          <t>REQ-021</t>
        </is>
      </c>
      <c r="C63" s="65" t="inlineStr">
        <is>
          <t>v0.2</t>
        </is>
      </c>
      <c r="D63" s="65" t="inlineStr">
        <is>
          <t>发布</t>
        </is>
      </c>
      <c r="E63" s="65" t="inlineStr">
        <is>
          <t>高</t>
        </is>
      </c>
      <c r="F63" s="65" t="inlineStr">
        <is>
          <t>update.json/latest.yml 一致性检查</t>
        </is>
      </c>
      <c r="G63" s="65" t="inlineStr">
        <is>
          <t>检查版本号、sha512、sha256、包大小、releaseNotes 和固定下载链接。</t>
        </is>
      </c>
      <c r="H63" s="65" t="inlineStr">
        <is>
          <t>更新清单检查表</t>
        </is>
      </c>
      <c r="I63" s="65" t="inlineStr">
        <is>
          <t>关于弹层和 electron-updater 读取一致。</t>
        </is>
      </c>
      <c r="J63" s="65" t="inlineStr">
        <is>
          <t>发布服务器</t>
        </is>
      </c>
      <c r="K63" s="65" t="inlineStr">
        <is>
          <t>客户端/运维</t>
        </is>
      </c>
      <c r="L63" s="65" t="inlineStr">
        <is>
          <t>待开始</t>
        </is>
      </c>
      <c r="M63" s="65" t="inlineStr">
        <is>
          <t>2026-06-29</t>
        </is>
      </c>
      <c r="N63" s="65" t="inlineStr"/>
    </row>
    <row r="64" ht="58" customHeight="1" s="52">
      <c r="A64" s="65" t="inlineStr">
        <is>
          <t>T063</t>
        </is>
      </c>
      <c r="B64" s="65" t="inlineStr">
        <is>
          <t>REQ-021</t>
        </is>
      </c>
      <c r="C64" s="65" t="inlineStr">
        <is>
          <t>v0.2</t>
        </is>
      </c>
      <c r="D64" s="65" t="inlineStr">
        <is>
          <t>发布</t>
        </is>
      </c>
      <c r="E64" s="65" t="inlineStr">
        <is>
          <t>中</t>
        </is>
      </c>
      <c r="F64" s="65" t="inlineStr">
        <is>
          <t>强制更新策略回归</t>
        </is>
      </c>
      <c r="G64" s="65" t="inlineStr">
        <is>
          <t>验证 patch 可选、minor/major 强制、minSupportedVersion 阻断。</t>
        </is>
      </c>
      <c r="H64" s="65" t="inlineStr">
        <is>
          <t>更新策略回归记录</t>
        </is>
      </c>
      <c r="I64" s="65" t="inlineStr">
        <is>
          <t>强制更新时阻止创建/运行/发送 Agent。</t>
        </is>
      </c>
      <c r="J64" s="65" t="inlineStr">
        <is>
          <t>UpdateService</t>
        </is>
      </c>
      <c r="K64" s="65" t="inlineStr">
        <is>
          <t>QA/客户端</t>
        </is>
      </c>
      <c r="L64" s="65" t="inlineStr">
        <is>
          <t>待开始</t>
        </is>
      </c>
      <c r="M64" s="65" t="inlineStr">
        <is>
          <t>2026-06-29</t>
        </is>
      </c>
      <c r="N64" s="65" t="inlineStr"/>
    </row>
  </sheetData>
  <conditionalFormatting sqref="E2:E64">
    <cfRule type="cellIs" priority="1" operator="equal" dxfId="17">
      <formula>"高"</formula>
    </cfRule>
    <cfRule type="cellIs" priority="2" operator="equal" dxfId="18">
      <formula>"中"</formula>
    </cfRule>
    <cfRule type="cellIs" priority="3" operator="equal" dxfId="19">
      <formula>"低"</formula>
    </cfRule>
  </conditionalFormatting>
  <conditionalFormatting sqref="L2:L64">
    <cfRule type="cellIs" priority="4" operator="equal" dxfId="20">
      <formula>"待验收"</formula>
    </cfRule>
    <cfRule type="cellIs" priority="5" operator="equal" dxfId="21">
      <formula>"进行中"</formula>
    </cfRule>
    <cfRule type="cellIs" priority="6" operator="equal" dxfId="22">
      <formula>"已具备基础能力"</formula>
    </cfRule>
    <cfRule type="cellIs" priority="7" operator="equal" dxfId="23">
      <formula>"规划中"</formula>
    </cfRule>
    <cfRule type="cellIs" priority="8" operator="equal" dxfId="24">
      <formula>"待方案"</formula>
    </cfRule>
    <cfRule type="cellIs" priority="9" operator="equal" dxfId="25">
      <formula>"研究中"</formula>
    </cfRule>
    <cfRule type="cellIs" priority="10" operator="equal" dxfId="26">
      <formula>"依赖方案"</formula>
    </cfRule>
    <cfRule type="cellIs" priority="11" operator="equal" dxfId="26">
      <formula>"依赖外部进度"</formula>
    </cfRule>
    <cfRule type="cellIs" priority="12" operator="equal" dxfId="19">
      <formula>"规划占位"</formula>
    </cfRule>
    <cfRule type="cellIs" priority="13" operator="equal" dxfId="27">
      <formula>"待开始"</formula>
    </cfRule>
  </conditionalFormatting>
  <dataValidations count="2">
    <dataValidation sqref="E2:E64" showDropDown="0" showInputMessage="0" showErrorMessage="0" allowBlank="1" type="list">
      <formula1>"高,中,低,暂缓"</formula1>
    </dataValidation>
    <dataValidation sqref="L2:L64" showDropDown="0" showInputMessage="0" showErrorMessage="0" allowBlank="1" type="list">
      <formula1>"待开始,进行中,待验收,已具备基础能力,规划中,待方案,研究中,依赖方案,依赖外部进度,规划占位,待调研,暂缓"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G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52" min="1" max="1"/>
    <col width="14" customWidth="1" style="52" min="2" max="2"/>
    <col width="24" customWidth="1" style="52" min="3" max="3"/>
    <col width="28" customWidth="1" style="52" min="4" max="4"/>
    <col width="48" customWidth="1" style="52" min="5" max="5"/>
    <col width="36" customWidth="1" style="52" min="6" max="6"/>
    <col width="42" customWidth="1" style="52" min="7" max="7"/>
  </cols>
  <sheetData>
    <row r="1">
      <c r="A1" s="64" t="inlineStr">
        <is>
          <t>里程碑ID</t>
        </is>
      </c>
      <c r="B1" s="64" t="inlineStr">
        <is>
          <t>目标日期</t>
        </is>
      </c>
      <c r="C1" s="64" t="inlineStr">
        <is>
          <t>版本/节点</t>
        </is>
      </c>
      <c r="D1" s="64" t="inlineStr">
        <is>
          <t>目标</t>
        </is>
      </c>
      <c r="E1" s="64" t="inlineStr">
        <is>
          <t>关键范围</t>
        </is>
      </c>
      <c r="F1" s="64" t="inlineStr">
        <is>
          <t>决策门</t>
        </is>
      </c>
      <c r="G1" s="64" t="inlineStr">
        <is>
          <t>退出标准</t>
        </is>
      </c>
    </row>
    <row r="2" ht="62" customHeight="1" s="52">
      <c r="A2" s="65" t="inlineStr">
        <is>
          <t>M1</t>
        </is>
      </c>
      <c r="B2" s="65" t="inlineStr">
        <is>
          <t>2026-06-10</t>
        </is>
      </c>
      <c r="C2" s="65" t="inlineStr">
        <is>
          <t>万象 v0.1.0-alpha</t>
        </is>
      </c>
      <c r="D2" s="65" t="inlineStr">
        <is>
          <t>核心功能内测验证</t>
        </is>
      </c>
      <c r="E2" s="65" t="inlineStr">
        <is>
          <t>Godot 基础能力、AI CLI 扩展、反馈入口方案、账号方案启动。</t>
        </is>
      </c>
      <c r="F2" s="65" t="inlineStr">
        <is>
          <t>是否能完成真实 Godot 项目创建和一次 AI 修改。</t>
        </is>
      </c>
      <c r="G2" s="65" t="inlineStr">
        <is>
          <t>内测可跑；关键阻塞记录到任务池。</t>
        </is>
      </c>
    </row>
    <row r="3" ht="62" customHeight="1" s="52">
      <c r="A3" s="65" t="inlineStr">
        <is>
          <t>M2</t>
        </is>
      </c>
      <c r="B3" s="65" t="inlineStr">
        <is>
          <t>2026-06-20</t>
        </is>
      </c>
      <c r="C3" s="65" t="inlineStr">
        <is>
          <t>账号/跨线研究</t>
        </is>
      </c>
      <c r="D3" s="65" t="inlineStr">
        <is>
          <t>账号体系技术方案定稿</t>
        </is>
      </c>
      <c r="E3" s="65" t="inlineStr">
        <is>
          <t>创作工具与大赛网站账号、投稿鉴权、KSCC/CLI 账号边界。</t>
        </is>
      </c>
      <c r="F3" s="65" t="inlineStr">
        <is>
          <t>是否支持 2026-07-10 大赛打通。</t>
        </is>
      </c>
      <c r="G3" s="65" t="inlineStr">
        <is>
          <t>方案文档、接口草案、实施任务拆出。</t>
        </is>
      </c>
    </row>
    <row r="4" ht="62" customHeight="1" s="52">
      <c r="A4" s="65" t="inlineStr">
        <is>
          <t>M3</t>
        </is>
      </c>
      <c r="B4" s="65" t="inlineStr">
        <is>
          <t>2026-06-30</t>
        </is>
      </c>
      <c r="C4" s="65" t="inlineStr">
        <is>
          <t>万象 v0.2.0</t>
        </is>
      </c>
      <c r="D4" s="65" t="inlineStr">
        <is>
          <t>正式版核心闭环</t>
        </is>
      </c>
      <c r="E4" s="65" t="inlineStr">
        <is>
          <t>Godot 完整支持、核心创作链路稳定、马良手动导入、2D/3D 资源管理 MVP、反馈机制完善。</t>
        </is>
      </c>
      <c r="F4" s="65" t="inlineStr">
        <is>
          <t>是否从演示跑通升级到真能用。</t>
        </is>
      </c>
      <c r="G4" s="65" t="inlineStr">
        <is>
          <t>5 条真实需求回归，至少 4 条可玩且可导出。</t>
        </is>
      </c>
    </row>
    <row r="5" ht="62" customHeight="1" s="52">
      <c r="A5" s="65" t="inlineStr">
        <is>
          <t>M4</t>
        </is>
      </c>
      <c r="B5" s="65" t="inlineStr">
        <is>
          <t>2026-06-30</t>
        </is>
      </c>
      <c r="C5" s="65" t="inlineStr">
        <is>
          <t>研究 M1</t>
        </is>
      </c>
      <c r="D5" s="65" t="inlineStr">
        <is>
          <t>微信小游戏研究里程碑</t>
        </is>
      </c>
      <c r="E5" s="65" t="inlineStr">
        <is>
          <t>微信小游戏调研报告、规划讨论稿、技术可行性结论。</t>
        </is>
      </c>
      <c r="F5" s="65" t="inlineStr">
        <is>
          <t>是否进入后续版本。</t>
        </is>
      </c>
      <c r="G5" s="65" t="inlineStr">
        <is>
          <t>报告评审通过，明确实施/暂缓。</t>
        </is>
      </c>
    </row>
    <row r="6" ht="62" customHeight="1" s="52">
      <c r="A6" s="65" t="inlineStr">
        <is>
          <t>M5</t>
        </is>
      </c>
      <c r="B6" s="65" t="inlineStr">
        <is>
          <t>2026-07-10</t>
        </is>
      </c>
      <c r="C6" s="65" t="inlineStr">
        <is>
          <t>大赛接入节点</t>
        </is>
      </c>
      <c r="D6" s="65" t="inlineStr">
        <is>
          <t>工具到大赛投稿链路</t>
        </is>
      </c>
      <c r="E6" s="65" t="inlineStr">
        <is>
          <t>作品包、manifest、账号态、官网接口或跳转投稿。</t>
        </is>
      </c>
      <c r="F6" s="65" t="inlineStr">
        <is>
          <t>是否能服务大赛投稿。</t>
        </is>
      </c>
      <c r="G6" s="65" t="inlineStr">
        <is>
          <t>至少完成最小投稿路径或明确人工替代方案。</t>
        </is>
      </c>
    </row>
    <row r="7" ht="62" customHeight="1" s="52">
      <c r="A7" s="65" t="inlineStr">
        <is>
          <t>M6</t>
        </is>
      </c>
      <c r="B7" s="65" t="inlineStr">
        <is>
          <t>2026-07 初</t>
        </is>
      </c>
      <c r="C7" s="65" t="inlineStr">
        <is>
          <t>移动端技术验证</t>
        </is>
      </c>
      <c r="D7" s="65" t="inlineStr">
        <is>
          <t>横屏/竖屏适配验证</t>
        </is>
      </c>
      <c r="E7" s="65" t="inlineStr">
        <is>
          <t>移动 Web 预览、触控输入、安全区和分辨率。</t>
        </is>
      </c>
      <c r="F7" s="65" t="inlineStr">
        <is>
          <t>是否支持手机端样例投入。</t>
        </is>
      </c>
      <c r="G7" s="65" t="inlineStr">
        <is>
          <t>1 个模板手机可操作，问题清单明确。</t>
        </is>
      </c>
    </row>
    <row r="8" ht="62" customHeight="1" s="52">
      <c r="A8" s="65" t="inlineStr">
        <is>
          <t>M7</t>
        </is>
      </c>
      <c r="B8" s="65" t="inlineStr">
        <is>
          <t>2026-09-30</t>
        </is>
      </c>
      <c r="C8" s="65" t="inlineStr">
        <is>
          <t>万象 v0.4.0 待定</t>
        </is>
      </c>
      <c r="D8" s="65" t="inlineStr">
        <is>
          <t>多引擎与生成工具升级</t>
        </is>
      </c>
      <c r="E8" s="65" t="inlineStr">
        <is>
          <t>Cocos POC、Chaos config UI、手机端样例、热门小游戏样例库。</t>
        </is>
      </c>
      <c r="F8" s="65" t="inlineStr">
        <is>
          <t>Godot 主线是否已经稳定。</t>
        </is>
      </c>
      <c r="G8" s="65" t="inlineStr">
        <is>
          <t>POC 或规划项达到可立项标准。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H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52" min="1" max="1"/>
    <col width="14" customWidth="1" style="52" min="2" max="2"/>
    <col width="46" customWidth="1" style="52" min="3" max="3"/>
    <col width="10" customWidth="1" style="52" min="4" max="4"/>
    <col width="10" customWidth="1" style="52" min="5" max="5"/>
    <col width="50" customWidth="1" style="52" min="6" max="6"/>
    <col width="18" customWidth="1" style="52" min="7" max="7"/>
    <col width="14" customWidth="1" style="52" min="8" max="8"/>
  </cols>
  <sheetData>
    <row r="1">
      <c r="A1" s="64" t="inlineStr">
        <is>
          <t>风险ID</t>
        </is>
      </c>
      <c r="B1" s="64" t="inlineStr">
        <is>
          <t>领域</t>
        </is>
      </c>
      <c r="C1" s="64" t="inlineStr">
        <is>
          <t>风险/依赖</t>
        </is>
      </c>
      <c r="D1" s="64" t="inlineStr">
        <is>
          <t>影响</t>
        </is>
      </c>
      <c r="E1" s="64" t="inlineStr">
        <is>
          <t>概率</t>
        </is>
      </c>
      <c r="F1" s="64" t="inlineStr">
        <is>
          <t>缓解动作</t>
        </is>
      </c>
      <c r="G1" s="64" t="inlineStr">
        <is>
          <t>负责人/协作</t>
        </is>
      </c>
      <c r="H1" s="64" t="inlineStr">
        <is>
          <t>目标日期</t>
        </is>
      </c>
    </row>
    <row r="2" ht="58" customHeight="1" s="52">
      <c r="A2" s="65" t="inlineStr">
        <is>
          <t>R001</t>
        </is>
      </c>
      <c r="B2" s="65" t="inlineStr">
        <is>
          <t>AI CLI</t>
        </is>
      </c>
      <c r="C2" s="65" t="inlineStr">
        <is>
          <t>本地 CLI 登录态/账号冲突导致 Agent 无法执行。</t>
        </is>
      </c>
      <c r="D2" s="65" t="inlineStr">
        <is>
          <t>高</t>
        </is>
      </c>
      <c r="E2" s="65" t="inlineStr">
        <is>
          <t>中</t>
        </is>
      </c>
      <c r="F2" s="65" t="inlineStr">
        <is>
          <t>建立 CLI 兼容矩阵；headless probe；错误分类文案；账号方案对齐。</t>
        </is>
      </c>
      <c r="G2" s="65" t="inlineStr">
        <is>
          <t>客户端/账号</t>
        </is>
      </c>
      <c r="H2" s="65" t="inlineStr">
        <is>
          <t>2026-06-20</t>
        </is>
      </c>
    </row>
    <row r="3" ht="58" customHeight="1" s="52">
      <c r="A3" s="65" t="inlineStr">
        <is>
          <t>R002</t>
        </is>
      </c>
      <c r="B3" s="65" t="inlineStr">
        <is>
          <t>Godot</t>
        </is>
      </c>
      <c r="C3" s="65" t="inlineStr">
        <is>
          <t>Godot Web 导出失败或交付旧模板，用户误以为生成成功。</t>
        </is>
      </c>
      <c r="D3" s="65" t="inlineStr">
        <is>
          <t>高</t>
        </is>
      </c>
      <c r="E3" s="65" t="inlineStr">
        <is>
          <t>中</t>
        </is>
      </c>
      <c r="F3" s="65" t="inlineStr">
        <is>
          <t>导出前必须检查文件变更；导出后检查 wasm/pck/html；失败阻断 zip。</t>
        </is>
      </c>
      <c r="G3" s="65" t="inlineStr">
        <is>
          <t>客户端/QA</t>
        </is>
      </c>
      <c r="H3" s="65" t="inlineStr">
        <is>
          <t>2026-06-21</t>
        </is>
      </c>
    </row>
    <row r="4" ht="58" customHeight="1" s="52">
      <c r="A4" s="65" t="inlineStr">
        <is>
          <t>R003</t>
        </is>
      </c>
      <c r="B4" s="65" t="inlineStr">
        <is>
          <t>资源</t>
        </is>
      </c>
      <c r="C4" s="65" t="inlineStr">
        <is>
          <t>2D 资源管理方案不清，导致马良/本地导入/Agent 使用互相割裂。</t>
        </is>
      </c>
      <c r="D4" s="65" t="inlineStr">
        <is>
          <t>高</t>
        </is>
      </c>
      <c r="E4" s="65" t="inlineStr">
        <is>
          <t>高</t>
        </is>
      </c>
      <c r="F4" s="65" t="inlineStr">
        <is>
          <t>先定 AssetManifest 和 AssetSlot 最小模型，再做导入。</t>
        </is>
      </c>
      <c r="G4" s="65" t="inlineStr">
        <is>
          <t>产品/客户端</t>
        </is>
      </c>
      <c r="H4" s="65" t="inlineStr">
        <is>
          <t>2026-06-19</t>
        </is>
      </c>
    </row>
    <row r="5" ht="58" customHeight="1" s="52">
      <c r="A5" s="65" t="inlineStr">
        <is>
          <t>R004</t>
        </is>
      </c>
      <c r="B5" s="65" t="inlineStr">
        <is>
          <t>3D 模型</t>
        </is>
      </c>
      <c r="C5" s="65" t="inlineStr">
        <is>
          <t>混元模型格式、贴图或体积不适合 Godot Web。</t>
        </is>
      </c>
      <c r="D5" s="65" t="inlineStr">
        <is>
          <t>中</t>
        </is>
      </c>
      <c r="E5" s="65" t="inlineStr">
        <is>
          <t>中</t>
        </is>
      </c>
      <c r="F5" s="65" t="inlineStr">
        <is>
          <t>建立 GLB/GLTF 导入验收和体积阈值；先验 3 个模型。</t>
        </is>
      </c>
      <c r="G5" s="65" t="inlineStr">
        <is>
          <t>客户端/QA</t>
        </is>
      </c>
      <c r="H5" s="65" t="inlineStr">
        <is>
          <t>2026-06-29</t>
        </is>
      </c>
    </row>
    <row r="6" ht="58" customHeight="1" s="52">
      <c r="A6" s="65" t="inlineStr">
        <is>
          <t>R005</t>
        </is>
      </c>
      <c r="B6" s="65" t="inlineStr">
        <is>
          <t>反馈</t>
        </is>
      </c>
      <c r="C6" s="65" t="inlineStr">
        <is>
          <t>反馈分散在群聊，无法转为研发任务。</t>
        </is>
      </c>
      <c r="D6" s="65" t="inlineStr">
        <is>
          <t>中</t>
        </is>
      </c>
      <c r="E6" s="65" t="inlineStr">
        <is>
          <t>高</t>
        </is>
      </c>
      <c r="F6" s="65" t="inlineStr">
        <is>
          <t>定义反馈字段、标签和周报模板；至少保留可复现上下文。</t>
        </is>
      </c>
      <c r="G6" s="65" t="inlineStr">
        <is>
          <t>产品/运营</t>
        </is>
      </c>
      <c r="H6" s="65" t="inlineStr">
        <is>
          <t>2026-06-28</t>
        </is>
      </c>
    </row>
    <row r="7" ht="58" customHeight="1" s="52">
      <c r="A7" s="65" t="inlineStr">
        <is>
          <t>R006</t>
        </is>
      </c>
      <c r="B7" s="65" t="inlineStr">
        <is>
          <t>大赛</t>
        </is>
      </c>
      <c r="C7" s="65" t="inlineStr">
        <is>
          <t>官网投稿接口和账号方案晚于工具侧排期。</t>
        </is>
      </c>
      <c r="D7" s="65" t="inlineStr">
        <is>
          <t>高</t>
        </is>
      </c>
      <c r="E7" s="65" t="inlineStr">
        <is>
          <t>中</t>
        </is>
      </c>
      <c r="F7" s="65" t="inlineStr">
        <is>
          <t>先支持导出包 + manifest + 人工上传兜底；并行推进接口。</t>
        </is>
      </c>
      <c r="G7" s="65" t="inlineStr">
        <is>
          <t>产品/官网</t>
        </is>
      </c>
      <c r="H7" s="65" t="inlineStr">
        <is>
          <t>2026-07-10</t>
        </is>
      </c>
    </row>
    <row r="8" ht="58" customHeight="1" s="52">
      <c r="A8" s="65" t="inlineStr">
        <is>
          <t>R007</t>
        </is>
      </c>
      <c r="B8" s="65" t="inlineStr">
        <is>
          <t>隐私安全</t>
        </is>
      </c>
      <c r="C8" s="65" t="inlineStr">
        <is>
          <t>上传日志、token 或项目路径可能带来隐私/安全问题。</t>
        </is>
      </c>
      <c r="D8" s="65" t="inlineStr">
        <is>
          <t>高</t>
        </is>
      </c>
      <c r="E8" s="65" t="inlineStr">
        <is>
          <t>中</t>
        </is>
      </c>
      <c r="F8" s="65" t="inlineStr">
        <is>
          <t>日志脱敏；token 安全存储；反馈上传前明确用户授权。</t>
        </is>
      </c>
      <c r="G8" s="65" t="inlineStr">
        <is>
          <t>客户端/安全</t>
        </is>
      </c>
      <c r="H8" s="65" t="inlineStr">
        <is>
          <t>2026-06-30</t>
        </is>
      </c>
    </row>
    <row r="9" ht="58" customHeight="1" s="52">
      <c r="A9" s="65" t="inlineStr">
        <is>
          <t>R008</t>
        </is>
      </c>
      <c r="B9" s="65" t="inlineStr">
        <is>
          <t>发布</t>
        </is>
      </c>
      <c r="C9" s="65" t="inlineStr">
        <is>
          <t>更新清单、安装包、服务器地址不一致导致内测包无法升级。</t>
        </is>
      </c>
      <c r="D9" s="65" t="inlineStr">
        <is>
          <t>高</t>
        </is>
      </c>
      <c r="E9" s="65" t="inlineStr">
        <is>
          <t>中</t>
        </is>
      </c>
      <c r="F9" s="65" t="inlineStr">
        <is>
          <t>发布前检查 latest.yml/update.json/安装包 hash/固定下载链接。</t>
        </is>
      </c>
      <c r="G9" s="65" t="inlineStr">
        <is>
          <t>客户端/运维</t>
        </is>
      </c>
      <c r="H9" s="65" t="inlineStr">
        <is>
          <t>2026-06-29</t>
        </is>
      </c>
    </row>
    <row r="10" ht="58" customHeight="1" s="52">
      <c r="A10" s="65" t="inlineStr">
        <is>
          <t>R009</t>
        </is>
      </c>
      <c r="B10" s="65" t="inlineStr">
        <is>
          <t>范围</t>
        </is>
      </c>
      <c r="C10" s="65" t="inlineStr">
        <is>
          <t>v0.2 同时承载资源、账号、大赛、反馈，范围过大。</t>
        </is>
      </c>
      <c r="D10" s="65" t="inlineStr">
        <is>
          <t>高</t>
        </is>
      </c>
      <c r="E10" s="65" t="inlineStr">
        <is>
          <t>高</t>
        </is>
      </c>
      <c r="F10" s="65" t="inlineStr">
        <is>
          <t>强制按 P0/P1/P2 切分；v0.2 只保核心闭环与手动导入。</t>
        </is>
      </c>
      <c r="G10" s="65" t="inlineStr">
        <is>
          <t>产品/项目管理</t>
        </is>
      </c>
      <c r="H10" s="65" t="inlineStr">
        <is>
          <t>2026-06-14</t>
        </is>
      </c>
    </row>
    <row r="11" ht="58" customHeight="1" s="52">
      <c r="A11" s="65" t="inlineStr">
        <is>
          <t>R010</t>
        </is>
      </c>
      <c r="B11" s="65" t="inlineStr">
        <is>
          <t>多引擎</t>
        </is>
      </c>
      <c r="C11" s="65" t="inlineStr">
        <is>
          <t>过早抽象 Cocos/微信小游戏会拖慢 Godot 主线。</t>
        </is>
      </c>
      <c r="D11" s="65" t="inlineStr">
        <is>
          <t>中</t>
        </is>
      </c>
      <c r="E11" s="65" t="inlineStr">
        <is>
          <t>中</t>
        </is>
      </c>
      <c r="F11" s="65" t="inlineStr">
        <is>
          <t>6 月只做研究和接口草案，9 月再投入 POC。</t>
        </is>
      </c>
      <c r="G11" s="65" t="inlineStr">
        <is>
          <t>架构/产品</t>
        </is>
      </c>
      <c r="H11" s="65" t="inlineStr">
        <is>
          <t>2026-06-30</t>
        </is>
      </c>
    </row>
  </sheetData>
  <conditionalFormatting sqref="D2:D11">
    <cfRule type="cellIs" priority="1" operator="equal" dxfId="17">
      <formula>"高"</formula>
    </cfRule>
    <cfRule type="cellIs" priority="2" operator="equal" dxfId="18">
      <formula>"中"</formula>
    </cfRule>
    <cfRule type="cellIs" priority="3" operator="equal" dxfId="19">
      <formula>"低"</formula>
    </cfRule>
  </conditionalFormatting>
  <conditionalFormatting sqref="E2:E11">
    <cfRule type="cellIs" priority="4" operator="equal" dxfId="17">
      <formula>"高"</formula>
    </cfRule>
    <cfRule type="cellIs" priority="5" operator="equal" dxfId="18">
      <formula>"中"</formula>
    </cfRule>
    <cfRule type="cellIs" priority="6" operator="equal" dxfId="19">
      <formula>"低"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6B7280"/>
    <outlinePr summaryBelow="1" summaryRight="1"/>
    <pageSetUpPr/>
  </sheetPr>
  <dimension ref="A1:B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52" min="1" max="1"/>
    <col width="90" customWidth="1" style="52" min="2" max="2"/>
  </cols>
  <sheetData>
    <row r="1">
      <c r="A1" s="64" t="inlineStr">
        <is>
          <t>字段</t>
        </is>
      </c>
      <c r="B1" s="64" t="inlineStr">
        <is>
          <t>说明</t>
        </is>
      </c>
    </row>
    <row r="2" ht="34" customHeight="1" s="52">
      <c r="A2" s="65" t="inlineStr">
        <is>
          <t>优先级：高</t>
        </is>
      </c>
      <c r="B2" s="65" t="inlineStr">
        <is>
          <t>v0.2 核心闭环或内测/大赛关键阻塞，未完成会影响主要交付。</t>
        </is>
      </c>
    </row>
    <row r="3" ht="34" customHeight="1" s="52">
      <c r="A3" s="65" t="inlineStr">
        <is>
          <t>优先级：中</t>
        </is>
      </c>
      <c r="B3" s="65" t="inlineStr">
        <is>
          <t>重要增强或跨线协同，需要排期但可根据核心链路让位。</t>
        </is>
      </c>
    </row>
    <row r="4" ht="34" customHeight="1" s="52">
      <c r="A4" s="65" t="inlineStr">
        <is>
          <t>优先级：低</t>
        </is>
      </c>
      <c r="B4" s="65" t="inlineStr">
        <is>
          <t>优化、运营、反馈沉淀或不阻塞版本主目标的事项。</t>
        </is>
      </c>
    </row>
    <row r="5" ht="34" customHeight="1" s="52">
      <c r="A5" s="65" t="inlineStr">
        <is>
          <t>状态：待开始</t>
        </is>
      </c>
      <c r="B5" s="65" t="inlineStr">
        <is>
          <t>尚未进入设计或开发。</t>
        </is>
      </c>
    </row>
    <row r="6" ht="34" customHeight="1" s="52">
      <c r="A6" s="65" t="inlineStr">
        <is>
          <t>状态：进行中</t>
        </is>
      </c>
      <c r="B6" s="65" t="inlineStr">
        <is>
          <t>已经有实现或验证动作。</t>
        </is>
      </c>
    </row>
    <row r="7" ht="34" customHeight="1" s="52">
      <c r="A7" s="65" t="inlineStr">
        <is>
          <t>状态：待验收</t>
        </is>
      </c>
      <c r="B7" s="65" t="inlineStr">
        <is>
          <t>基础实现已具备，需要内测/QA 结果确认。</t>
        </is>
      </c>
    </row>
    <row r="8" ht="34" customHeight="1" s="52">
      <c r="A8" s="65" t="inlineStr">
        <is>
          <t>状态：已具备基础能力</t>
        </is>
      </c>
      <c r="B8" s="65" t="inlineStr">
        <is>
          <t>当前代码或流程已有能力，但仍可能需要真实场景打磨。</t>
        </is>
      </c>
    </row>
    <row r="9" ht="34" customHeight="1" s="52">
      <c r="A9" s="65" t="inlineStr">
        <is>
          <t>状态：研究中/待方案/依赖方案</t>
        </is>
      </c>
      <c r="B9" s="65" t="inlineStr">
        <is>
          <t>需要先完成方案、接口或外部协同，再进入实现。</t>
        </is>
      </c>
    </row>
    <row r="10" ht="34" customHeight="1" s="52">
      <c r="A10" s="65" t="inlineStr">
        <is>
          <t>完成定义</t>
        </is>
      </c>
      <c r="B10" s="65" t="inlineStr">
        <is>
          <t>需求完成必须有交付物、验收标准、可追踪证据；研发任务完成必须可被 QA 或产品复核。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2026-06-05T07:56:00Z</dcterms:created>
  <dcterms:modified xmlns:dcterms="http://purl.org/dc/terms/" xmlns:xsi="http://www.w3.org/2001/XMLSchema-instance" xsi:type="dcterms:W3CDTF">2026-06-11T09:21:17Z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DD71838C27B9E16039DE1F6A37618953_41</vt:lpwstr>
  </property>
  <property name="KSOProductBuildVer" fmtid="{D5CDD505-2E9C-101B-9397-08002B2CF9AE}" pid="3">
    <vt:lpwstr xmlns:vt="http://schemas.openxmlformats.org/officeDocument/2006/docPropsVTypes">2052-12.9.0.26832</vt:lpwstr>
  </property>
  <property name="CalculationRule" fmtid="{D5CDD505-2E9C-101B-9397-08002B2CF9AE}" pid="4">
    <vt:i4 xmlns:vt="http://schemas.openxmlformats.org/officeDocument/2006/docPropsVTypes">1</vt:i4>
  </property>
</Properties>
</file>